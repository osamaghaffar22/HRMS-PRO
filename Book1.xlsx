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MS Pro\"/>
    </mc:Choice>
  </mc:AlternateContent>
  <xr:revisionPtr revIDLastSave="0" documentId="8_{F89AFB52-5373-4BA2-BEBC-734D83F1D6B4}" xr6:coauthVersionLast="47" xr6:coauthVersionMax="47" xr10:uidLastSave="{00000000-0000-0000-0000-000000000000}"/>
  <bookViews>
    <workbookView xWindow="-28920" yWindow="-120" windowWidth="23280" windowHeight="12480" xr2:uid="{7E09E75F-7467-4F30-BD87-278C5E3E0635}"/>
  </bookViews>
  <sheets>
    <sheet name="All" sheetId="1" r:id="rId1"/>
  </sheets>
  <externalReferences>
    <externalReference r:id="rId2"/>
    <externalReference r:id="rId3"/>
  </externalReferences>
  <definedNames>
    <definedName name="_xlnm.Print_Area" localSheetId="0">All!$B$1:$AV$689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689" i="1" l="1"/>
  <c r="AS689" i="1"/>
  <c r="O689" i="1"/>
  <c r="G689" i="1"/>
  <c r="AT688" i="1"/>
  <c r="AS688" i="1"/>
  <c r="O688" i="1"/>
  <c r="G688" i="1"/>
  <c r="AT687" i="1"/>
  <c r="AS687" i="1"/>
  <c r="O687" i="1"/>
  <c r="G687" i="1"/>
  <c r="AT686" i="1"/>
  <c r="AS686" i="1"/>
  <c r="O686" i="1"/>
  <c r="G686" i="1"/>
  <c r="AT685" i="1"/>
  <c r="AS685" i="1"/>
  <c r="O685" i="1"/>
  <c r="G685" i="1"/>
  <c r="AT684" i="1"/>
  <c r="AS684" i="1"/>
  <c r="O684" i="1"/>
  <c r="G684" i="1"/>
  <c r="AT683" i="1"/>
  <c r="AS683" i="1"/>
  <c r="O683" i="1"/>
  <c r="G683" i="1"/>
  <c r="AT682" i="1"/>
  <c r="AS682" i="1"/>
  <c r="O682" i="1"/>
  <c r="G682" i="1"/>
  <c r="AT681" i="1"/>
  <c r="AS681" i="1"/>
  <c r="O681" i="1"/>
  <c r="G681" i="1"/>
  <c r="AT680" i="1"/>
  <c r="AS680" i="1"/>
  <c r="O680" i="1"/>
  <c r="G680" i="1"/>
  <c r="AT679" i="1"/>
  <c r="AS679" i="1"/>
  <c r="O679" i="1"/>
  <c r="G679" i="1"/>
  <c r="AT678" i="1"/>
  <c r="AS678" i="1"/>
  <c r="O678" i="1"/>
  <c r="G678" i="1"/>
  <c r="AT677" i="1"/>
  <c r="AS677" i="1"/>
  <c r="O677" i="1"/>
  <c r="G677" i="1"/>
  <c r="AT676" i="1"/>
  <c r="AS676" i="1"/>
  <c r="O676" i="1"/>
  <c r="G676" i="1"/>
  <c r="AT675" i="1"/>
  <c r="AS675" i="1"/>
  <c r="O675" i="1"/>
  <c r="G675" i="1"/>
  <c r="AT674" i="1"/>
  <c r="AS674" i="1"/>
  <c r="O674" i="1"/>
  <c r="G674" i="1"/>
  <c r="AT673" i="1"/>
  <c r="AS673" i="1"/>
  <c r="O673" i="1"/>
  <c r="G673" i="1"/>
  <c r="AT672" i="1"/>
  <c r="AS672" i="1"/>
  <c r="O672" i="1"/>
  <c r="G672" i="1"/>
  <c r="AT671" i="1"/>
  <c r="AS671" i="1"/>
  <c r="O671" i="1"/>
  <c r="G671" i="1"/>
  <c r="AT670" i="1"/>
  <c r="AS670" i="1"/>
  <c r="O670" i="1"/>
  <c r="G670" i="1"/>
  <c r="AT669" i="1"/>
  <c r="AS669" i="1"/>
  <c r="O669" i="1"/>
  <c r="G669" i="1"/>
  <c r="AT668" i="1"/>
  <c r="AS668" i="1"/>
  <c r="O668" i="1"/>
  <c r="G668" i="1"/>
  <c r="AT667" i="1"/>
  <c r="AS667" i="1"/>
  <c r="O667" i="1"/>
  <c r="G667" i="1"/>
  <c r="AT666" i="1"/>
  <c r="AS666" i="1"/>
  <c r="O666" i="1"/>
  <c r="G666" i="1"/>
  <c r="AT665" i="1"/>
  <c r="AS665" i="1"/>
  <c r="O665" i="1"/>
  <c r="G665" i="1"/>
  <c r="AT664" i="1"/>
  <c r="AS664" i="1"/>
  <c r="O664" i="1"/>
  <c r="G664" i="1"/>
  <c r="AT663" i="1"/>
  <c r="AS663" i="1"/>
  <c r="O663" i="1"/>
  <c r="G663" i="1"/>
  <c r="AT662" i="1"/>
  <c r="AS662" i="1"/>
  <c r="O662" i="1"/>
  <c r="G662" i="1"/>
  <c r="AT661" i="1"/>
  <c r="AS661" i="1"/>
  <c r="O661" i="1"/>
  <c r="G661" i="1"/>
  <c r="AT660" i="1"/>
  <c r="AS660" i="1"/>
  <c r="O660" i="1"/>
  <c r="G660" i="1"/>
  <c r="AT659" i="1"/>
  <c r="AS659" i="1"/>
  <c r="O659" i="1"/>
  <c r="G659" i="1"/>
  <c r="AT658" i="1"/>
  <c r="AS658" i="1"/>
  <c r="O658" i="1"/>
  <c r="G658" i="1"/>
  <c r="AT657" i="1"/>
  <c r="AS657" i="1"/>
  <c r="O657" i="1"/>
  <c r="G657" i="1"/>
  <c r="AT656" i="1"/>
  <c r="AS656" i="1"/>
  <c r="O656" i="1"/>
  <c r="G656" i="1"/>
  <c r="AT655" i="1"/>
  <c r="AS655" i="1"/>
  <c r="O655" i="1"/>
  <c r="G655" i="1"/>
  <c r="AT654" i="1"/>
  <c r="AS654" i="1"/>
  <c r="O654" i="1"/>
  <c r="G654" i="1"/>
  <c r="AT653" i="1"/>
  <c r="AS653" i="1"/>
  <c r="O653" i="1"/>
  <c r="G653" i="1"/>
  <c r="AT652" i="1"/>
  <c r="AS652" i="1"/>
  <c r="O652" i="1"/>
  <c r="G652" i="1"/>
  <c r="AT651" i="1"/>
  <c r="AS651" i="1"/>
  <c r="O651" i="1"/>
  <c r="G651" i="1"/>
  <c r="AT650" i="1"/>
  <c r="AS650" i="1"/>
  <c r="O650" i="1"/>
  <c r="G650" i="1"/>
  <c r="AT649" i="1"/>
  <c r="AS649" i="1"/>
  <c r="O649" i="1"/>
  <c r="G649" i="1"/>
  <c r="AT648" i="1"/>
  <c r="AS648" i="1"/>
  <c r="O648" i="1"/>
  <c r="G648" i="1"/>
  <c r="AT647" i="1"/>
  <c r="AS647" i="1"/>
  <c r="O647" i="1"/>
  <c r="G647" i="1"/>
  <c r="AT646" i="1"/>
  <c r="AS646" i="1"/>
  <c r="O646" i="1"/>
  <c r="G646" i="1"/>
  <c r="AT645" i="1"/>
  <c r="AS645" i="1"/>
  <c r="O645" i="1"/>
  <c r="G645" i="1"/>
  <c r="AT644" i="1"/>
  <c r="AS644" i="1"/>
  <c r="O644" i="1"/>
  <c r="G644" i="1"/>
  <c r="AT643" i="1"/>
  <c r="AS643" i="1"/>
  <c r="O643" i="1"/>
  <c r="G643" i="1"/>
  <c r="AT642" i="1"/>
  <c r="AS642" i="1"/>
  <c r="O642" i="1"/>
  <c r="G642" i="1"/>
  <c r="AT641" i="1"/>
  <c r="AS641" i="1"/>
  <c r="O641" i="1"/>
  <c r="G641" i="1"/>
  <c r="AT640" i="1"/>
  <c r="AS640" i="1"/>
  <c r="O640" i="1"/>
  <c r="G640" i="1"/>
  <c r="AT639" i="1"/>
  <c r="AS639" i="1"/>
  <c r="O639" i="1"/>
  <c r="G639" i="1"/>
  <c r="AT638" i="1"/>
  <c r="AS638" i="1"/>
  <c r="O638" i="1"/>
  <c r="G638" i="1"/>
  <c r="AT637" i="1"/>
  <c r="AS637" i="1"/>
  <c r="O637" i="1"/>
  <c r="G637" i="1"/>
  <c r="AT636" i="1"/>
  <c r="AS636" i="1"/>
  <c r="O636" i="1"/>
  <c r="G636" i="1"/>
  <c r="AT635" i="1"/>
  <c r="AS635" i="1"/>
  <c r="O635" i="1"/>
  <c r="G635" i="1"/>
  <c r="AT634" i="1"/>
  <c r="AS634" i="1"/>
  <c r="O634" i="1"/>
  <c r="G634" i="1"/>
  <c r="AT633" i="1"/>
  <c r="AS633" i="1"/>
  <c r="O633" i="1"/>
  <c r="G633" i="1"/>
  <c r="AT632" i="1"/>
  <c r="AS632" i="1"/>
  <c r="O632" i="1"/>
  <c r="G632" i="1"/>
  <c r="AT631" i="1"/>
  <c r="AS631" i="1"/>
  <c r="O631" i="1"/>
  <c r="G631" i="1"/>
  <c r="AT630" i="1"/>
  <c r="AS630" i="1"/>
  <c r="O630" i="1"/>
  <c r="G630" i="1"/>
  <c r="AT629" i="1"/>
  <c r="AS629" i="1"/>
  <c r="O629" i="1"/>
  <c r="G629" i="1"/>
  <c r="AT628" i="1"/>
  <c r="AS628" i="1"/>
  <c r="O628" i="1"/>
  <c r="G628" i="1"/>
  <c r="AT627" i="1"/>
  <c r="AS627" i="1"/>
  <c r="O627" i="1"/>
  <c r="G627" i="1"/>
  <c r="AT626" i="1"/>
  <c r="AS626" i="1"/>
  <c r="O626" i="1"/>
  <c r="G626" i="1"/>
  <c r="AT625" i="1"/>
  <c r="AS625" i="1"/>
  <c r="O625" i="1"/>
  <c r="G625" i="1"/>
  <c r="AT624" i="1"/>
  <c r="AS624" i="1"/>
  <c r="O624" i="1"/>
  <c r="G624" i="1"/>
  <c r="AT623" i="1"/>
  <c r="AS623" i="1"/>
  <c r="O623" i="1"/>
  <c r="G623" i="1"/>
  <c r="AT622" i="1"/>
  <c r="AS622" i="1"/>
  <c r="O622" i="1"/>
  <c r="G622" i="1"/>
  <c r="AT621" i="1"/>
  <c r="AS621" i="1"/>
  <c r="O621" i="1"/>
  <c r="G621" i="1"/>
  <c r="AT620" i="1"/>
  <c r="AS620" i="1"/>
  <c r="O620" i="1"/>
  <c r="G620" i="1"/>
  <c r="AT619" i="1"/>
  <c r="AS619" i="1"/>
  <c r="O619" i="1"/>
  <c r="G619" i="1"/>
  <c r="AT618" i="1"/>
  <c r="AS618" i="1"/>
  <c r="O618" i="1"/>
  <c r="G618" i="1"/>
  <c r="AT617" i="1"/>
  <c r="AS617" i="1"/>
  <c r="O617" i="1"/>
  <c r="G617" i="1"/>
  <c r="AT616" i="1"/>
  <c r="AS616" i="1"/>
  <c r="O616" i="1"/>
  <c r="G616" i="1"/>
  <c r="AT615" i="1"/>
  <c r="AS615" i="1"/>
  <c r="O615" i="1"/>
  <c r="G615" i="1"/>
  <c r="AT614" i="1"/>
  <c r="AS614" i="1"/>
  <c r="O614" i="1"/>
  <c r="G614" i="1"/>
  <c r="AT613" i="1"/>
  <c r="AS613" i="1"/>
  <c r="O613" i="1"/>
  <c r="G613" i="1"/>
  <c r="AT612" i="1"/>
  <c r="AS612" i="1"/>
  <c r="O612" i="1"/>
  <c r="G612" i="1"/>
  <c r="AT611" i="1"/>
  <c r="AS611" i="1"/>
  <c r="O611" i="1"/>
  <c r="G611" i="1"/>
  <c r="AT610" i="1"/>
  <c r="AS610" i="1"/>
  <c r="O610" i="1"/>
  <c r="G610" i="1"/>
  <c r="AT609" i="1"/>
  <c r="AS609" i="1"/>
  <c r="O609" i="1"/>
  <c r="G609" i="1"/>
  <c r="AT608" i="1"/>
  <c r="AS608" i="1"/>
  <c r="O608" i="1"/>
  <c r="G608" i="1"/>
  <c r="AT607" i="1"/>
  <c r="AS607" i="1"/>
  <c r="O607" i="1"/>
  <c r="G607" i="1"/>
  <c r="AT606" i="1"/>
  <c r="AS606" i="1"/>
  <c r="O606" i="1"/>
  <c r="G606" i="1"/>
  <c r="AT605" i="1"/>
  <c r="AS605" i="1"/>
  <c r="O605" i="1"/>
  <c r="G605" i="1"/>
  <c r="AT604" i="1"/>
  <c r="AS604" i="1"/>
  <c r="O604" i="1"/>
  <c r="G604" i="1"/>
  <c r="AT603" i="1"/>
  <c r="AS603" i="1"/>
  <c r="O603" i="1"/>
  <c r="G603" i="1"/>
  <c r="AT602" i="1"/>
  <c r="AS602" i="1"/>
  <c r="O602" i="1"/>
  <c r="G602" i="1"/>
  <c r="AT601" i="1"/>
  <c r="AS601" i="1"/>
  <c r="O601" i="1"/>
  <c r="G601" i="1"/>
  <c r="AT600" i="1"/>
  <c r="AS600" i="1"/>
  <c r="O600" i="1"/>
  <c r="G600" i="1"/>
  <c r="AT599" i="1"/>
  <c r="AS599" i="1"/>
  <c r="O599" i="1"/>
  <c r="G599" i="1"/>
  <c r="AT598" i="1"/>
  <c r="AS598" i="1"/>
  <c r="O598" i="1"/>
  <c r="G598" i="1"/>
  <c r="AT597" i="1"/>
  <c r="AS597" i="1"/>
  <c r="O597" i="1"/>
  <c r="G597" i="1"/>
  <c r="AT596" i="1"/>
  <c r="AS596" i="1"/>
  <c r="O596" i="1"/>
  <c r="G596" i="1"/>
  <c r="AT595" i="1"/>
  <c r="AS595" i="1"/>
  <c r="O595" i="1"/>
  <c r="G595" i="1"/>
  <c r="AT594" i="1"/>
  <c r="AS594" i="1"/>
  <c r="O594" i="1"/>
  <c r="G594" i="1"/>
  <c r="AT593" i="1"/>
  <c r="AS593" i="1"/>
  <c r="O593" i="1"/>
  <c r="G593" i="1"/>
  <c r="AT592" i="1"/>
  <c r="AS592" i="1"/>
  <c r="O592" i="1"/>
  <c r="G592" i="1"/>
  <c r="AT591" i="1"/>
  <c r="AS591" i="1"/>
  <c r="O591" i="1"/>
  <c r="G591" i="1"/>
  <c r="AT590" i="1"/>
  <c r="AS590" i="1"/>
  <c r="O590" i="1"/>
  <c r="G590" i="1"/>
  <c r="AT589" i="1"/>
  <c r="AS589" i="1"/>
  <c r="O589" i="1"/>
  <c r="G589" i="1"/>
  <c r="AT588" i="1"/>
  <c r="AS588" i="1"/>
  <c r="O588" i="1"/>
  <c r="G588" i="1"/>
  <c r="AT587" i="1"/>
  <c r="AS587" i="1"/>
  <c r="O587" i="1"/>
  <c r="G587" i="1"/>
  <c r="AT586" i="1"/>
  <c r="AS586" i="1"/>
  <c r="G586" i="1"/>
  <c r="AT585" i="1"/>
  <c r="AS585" i="1"/>
  <c r="O585" i="1"/>
  <c r="G585" i="1"/>
  <c r="AT584" i="1"/>
  <c r="AS584" i="1"/>
  <c r="O584" i="1"/>
  <c r="G584" i="1"/>
  <c r="AT583" i="1"/>
  <c r="AS583" i="1"/>
  <c r="O583" i="1"/>
  <c r="G583" i="1"/>
  <c r="AT582" i="1"/>
  <c r="AS582" i="1"/>
  <c r="O582" i="1"/>
  <c r="G582" i="1"/>
  <c r="AT581" i="1"/>
  <c r="AS581" i="1"/>
  <c r="O581" i="1"/>
  <c r="G581" i="1"/>
  <c r="AT580" i="1"/>
  <c r="AS580" i="1"/>
  <c r="O580" i="1"/>
  <c r="G580" i="1"/>
  <c r="AT579" i="1"/>
  <c r="AS579" i="1"/>
  <c r="O579" i="1"/>
  <c r="G579" i="1"/>
  <c r="AT578" i="1"/>
  <c r="AS578" i="1"/>
  <c r="O578" i="1"/>
  <c r="G578" i="1"/>
  <c r="AT577" i="1"/>
  <c r="AS577" i="1"/>
  <c r="O577" i="1"/>
  <c r="G577" i="1"/>
  <c r="AT576" i="1"/>
  <c r="AS576" i="1"/>
  <c r="O576" i="1"/>
  <c r="G576" i="1"/>
  <c r="AT575" i="1"/>
  <c r="AS575" i="1"/>
  <c r="O575" i="1"/>
  <c r="G575" i="1"/>
  <c r="AT574" i="1"/>
  <c r="AS574" i="1"/>
  <c r="O574" i="1"/>
  <c r="G574" i="1"/>
  <c r="AT573" i="1"/>
  <c r="AS573" i="1"/>
  <c r="O573" i="1"/>
  <c r="G573" i="1"/>
  <c r="AT572" i="1"/>
  <c r="AS572" i="1"/>
  <c r="O572" i="1"/>
  <c r="G572" i="1"/>
  <c r="AT571" i="1"/>
  <c r="AS571" i="1"/>
  <c r="O571" i="1"/>
  <c r="G571" i="1"/>
  <c r="AT570" i="1"/>
  <c r="AS570" i="1"/>
  <c r="O570" i="1"/>
  <c r="G570" i="1"/>
  <c r="AT569" i="1"/>
  <c r="AS569" i="1"/>
  <c r="O569" i="1"/>
  <c r="G569" i="1"/>
  <c r="AT568" i="1"/>
  <c r="AS568" i="1"/>
  <c r="O568" i="1"/>
  <c r="G568" i="1"/>
  <c r="AT567" i="1"/>
  <c r="AS567" i="1"/>
  <c r="O567" i="1"/>
  <c r="G567" i="1"/>
  <c r="AT566" i="1"/>
  <c r="AS566" i="1"/>
  <c r="O566" i="1"/>
  <c r="G566" i="1"/>
  <c r="AT565" i="1"/>
  <c r="AS565" i="1"/>
  <c r="O565" i="1"/>
  <c r="G565" i="1"/>
  <c r="AT564" i="1"/>
  <c r="AS564" i="1"/>
  <c r="O564" i="1"/>
  <c r="G564" i="1"/>
  <c r="AT563" i="1"/>
  <c r="AS563" i="1"/>
  <c r="O563" i="1"/>
  <c r="G563" i="1"/>
  <c r="AT562" i="1"/>
  <c r="AS562" i="1"/>
  <c r="O562" i="1"/>
  <c r="G562" i="1"/>
  <c r="AT561" i="1"/>
  <c r="AS561" i="1"/>
  <c r="O561" i="1"/>
  <c r="G561" i="1"/>
  <c r="AT560" i="1"/>
  <c r="AS560" i="1"/>
  <c r="O560" i="1"/>
  <c r="G560" i="1"/>
  <c r="AT559" i="1"/>
  <c r="AS559" i="1"/>
  <c r="O559" i="1"/>
  <c r="G559" i="1"/>
  <c r="AT558" i="1"/>
  <c r="AS558" i="1"/>
  <c r="O558" i="1"/>
  <c r="G558" i="1"/>
  <c r="AT557" i="1"/>
  <c r="AS557" i="1"/>
  <c r="O557" i="1"/>
  <c r="G557" i="1"/>
  <c r="AT556" i="1"/>
  <c r="AS556" i="1"/>
  <c r="O556" i="1"/>
  <c r="G556" i="1"/>
  <c r="AT555" i="1"/>
  <c r="AS555" i="1"/>
  <c r="O555" i="1"/>
  <c r="G555" i="1"/>
  <c r="AT554" i="1"/>
  <c r="AS554" i="1"/>
  <c r="O554" i="1"/>
  <c r="G554" i="1"/>
  <c r="AT553" i="1"/>
  <c r="AS553" i="1"/>
  <c r="O553" i="1"/>
  <c r="G553" i="1"/>
  <c r="AT552" i="1"/>
  <c r="AS552" i="1"/>
  <c r="O552" i="1"/>
  <c r="G552" i="1"/>
  <c r="AT551" i="1"/>
  <c r="AS551" i="1"/>
  <c r="O551" i="1"/>
  <c r="G551" i="1"/>
  <c r="AT550" i="1"/>
  <c r="AS550" i="1"/>
  <c r="O550" i="1"/>
  <c r="G550" i="1"/>
  <c r="AT549" i="1"/>
  <c r="AS549" i="1"/>
  <c r="O549" i="1"/>
  <c r="G549" i="1"/>
  <c r="AT548" i="1"/>
  <c r="AS548" i="1"/>
  <c r="O548" i="1"/>
  <c r="G548" i="1"/>
  <c r="AT547" i="1"/>
  <c r="AS547" i="1"/>
  <c r="O547" i="1"/>
  <c r="G547" i="1"/>
  <c r="AT546" i="1"/>
  <c r="AS546" i="1"/>
  <c r="O546" i="1"/>
  <c r="G546" i="1"/>
  <c r="AT545" i="1"/>
  <c r="AS545" i="1"/>
  <c r="O545" i="1"/>
  <c r="G545" i="1"/>
  <c r="AT544" i="1"/>
  <c r="AS544" i="1"/>
  <c r="O544" i="1"/>
  <c r="G544" i="1"/>
  <c r="AT543" i="1"/>
  <c r="AS543" i="1"/>
  <c r="O543" i="1"/>
  <c r="G543" i="1"/>
  <c r="AT542" i="1"/>
  <c r="AS542" i="1"/>
  <c r="O542" i="1"/>
  <c r="G542" i="1"/>
  <c r="AT541" i="1"/>
  <c r="AS541" i="1"/>
  <c r="O541" i="1"/>
  <c r="G541" i="1"/>
  <c r="AT540" i="1"/>
  <c r="AS540" i="1"/>
  <c r="O540" i="1"/>
  <c r="G540" i="1"/>
  <c r="AT539" i="1"/>
  <c r="AS539" i="1"/>
  <c r="O539" i="1"/>
  <c r="G539" i="1"/>
  <c r="AT538" i="1"/>
  <c r="AS538" i="1"/>
  <c r="O538" i="1"/>
  <c r="G538" i="1"/>
  <c r="AT537" i="1"/>
  <c r="AS537" i="1"/>
  <c r="O537" i="1"/>
  <c r="G537" i="1"/>
  <c r="AT536" i="1"/>
  <c r="AS536" i="1"/>
  <c r="O536" i="1"/>
  <c r="G536" i="1"/>
  <c r="AT535" i="1"/>
  <c r="AS535" i="1"/>
  <c r="O535" i="1"/>
  <c r="G535" i="1"/>
  <c r="AT534" i="1"/>
  <c r="AS534" i="1"/>
  <c r="O534" i="1"/>
  <c r="G534" i="1"/>
  <c r="AT533" i="1"/>
  <c r="AS533" i="1"/>
  <c r="O533" i="1"/>
  <c r="G533" i="1"/>
  <c r="AT532" i="1"/>
  <c r="AS532" i="1"/>
  <c r="O532" i="1"/>
  <c r="G532" i="1"/>
  <c r="AT531" i="1"/>
  <c r="AS531" i="1"/>
  <c r="O531" i="1"/>
  <c r="G531" i="1"/>
  <c r="AT530" i="1"/>
  <c r="AS530" i="1"/>
  <c r="O530" i="1"/>
  <c r="G530" i="1"/>
  <c r="AT529" i="1"/>
  <c r="AS529" i="1"/>
  <c r="O529" i="1"/>
  <c r="G529" i="1"/>
  <c r="AT528" i="1"/>
  <c r="AS528" i="1"/>
  <c r="O528" i="1"/>
  <c r="G528" i="1"/>
  <c r="AT527" i="1"/>
  <c r="AS527" i="1"/>
  <c r="O527" i="1"/>
  <c r="G527" i="1"/>
  <c r="AT526" i="1"/>
  <c r="AS526" i="1"/>
  <c r="O526" i="1"/>
  <c r="G526" i="1"/>
  <c r="AT525" i="1"/>
  <c r="AS525" i="1"/>
  <c r="O525" i="1"/>
  <c r="G525" i="1"/>
  <c r="AT524" i="1"/>
  <c r="AS524" i="1"/>
  <c r="O524" i="1"/>
  <c r="G524" i="1"/>
  <c r="AT523" i="1"/>
  <c r="AS523" i="1"/>
  <c r="O523" i="1"/>
  <c r="G523" i="1"/>
  <c r="AT522" i="1"/>
  <c r="AS522" i="1"/>
  <c r="O522" i="1"/>
  <c r="G522" i="1"/>
  <c r="AT521" i="1"/>
  <c r="AS521" i="1"/>
  <c r="O521" i="1"/>
  <c r="G521" i="1"/>
  <c r="AT520" i="1"/>
  <c r="AS520" i="1"/>
  <c r="O520" i="1"/>
  <c r="G520" i="1"/>
  <c r="AT519" i="1"/>
  <c r="AS519" i="1"/>
  <c r="O519" i="1"/>
  <c r="G519" i="1"/>
  <c r="AT518" i="1"/>
  <c r="AS518" i="1"/>
  <c r="O518" i="1"/>
  <c r="G518" i="1"/>
  <c r="AT517" i="1"/>
  <c r="AS517" i="1"/>
  <c r="O517" i="1"/>
  <c r="G517" i="1"/>
  <c r="AT516" i="1"/>
  <c r="AS516" i="1"/>
  <c r="O516" i="1"/>
  <c r="G516" i="1"/>
  <c r="AT515" i="1"/>
  <c r="AS515" i="1"/>
  <c r="O515" i="1"/>
  <c r="G515" i="1"/>
  <c r="AT514" i="1"/>
  <c r="AS514" i="1"/>
  <c r="O514" i="1"/>
  <c r="G514" i="1"/>
  <c r="AT513" i="1"/>
  <c r="AS513" i="1"/>
  <c r="O513" i="1"/>
  <c r="G513" i="1"/>
  <c r="AT512" i="1"/>
  <c r="AS512" i="1"/>
  <c r="O512" i="1"/>
  <c r="G512" i="1"/>
  <c r="AT511" i="1"/>
  <c r="AS511" i="1"/>
  <c r="O511" i="1"/>
  <c r="G511" i="1"/>
  <c r="AT510" i="1"/>
  <c r="AS510" i="1"/>
  <c r="O510" i="1"/>
  <c r="G510" i="1"/>
  <c r="AT509" i="1"/>
  <c r="AS509" i="1"/>
  <c r="O509" i="1"/>
  <c r="G509" i="1"/>
  <c r="AT508" i="1"/>
  <c r="AS508" i="1"/>
  <c r="O508" i="1"/>
  <c r="G508" i="1"/>
  <c r="AT507" i="1"/>
  <c r="AS507" i="1"/>
  <c r="O507" i="1"/>
  <c r="G507" i="1"/>
  <c r="AT506" i="1"/>
  <c r="AS506" i="1"/>
  <c r="O506" i="1"/>
  <c r="G506" i="1"/>
  <c r="AT505" i="1"/>
  <c r="AS505" i="1"/>
  <c r="O505" i="1"/>
  <c r="G505" i="1"/>
  <c r="AT504" i="1"/>
  <c r="AS504" i="1"/>
  <c r="O504" i="1"/>
  <c r="G504" i="1"/>
  <c r="AT503" i="1"/>
  <c r="AS503" i="1"/>
  <c r="O503" i="1"/>
  <c r="G503" i="1"/>
  <c r="AT502" i="1"/>
  <c r="AS502" i="1"/>
  <c r="O502" i="1"/>
  <c r="G502" i="1"/>
  <c r="AT501" i="1"/>
  <c r="AS501" i="1"/>
  <c r="O501" i="1"/>
  <c r="G501" i="1"/>
  <c r="AT500" i="1"/>
  <c r="AS500" i="1"/>
  <c r="O500" i="1"/>
  <c r="G500" i="1"/>
  <c r="AT499" i="1"/>
  <c r="AS499" i="1"/>
  <c r="O499" i="1"/>
  <c r="G499" i="1"/>
  <c r="AT498" i="1"/>
  <c r="AS498" i="1"/>
  <c r="O498" i="1"/>
  <c r="G498" i="1"/>
  <c r="AT497" i="1"/>
  <c r="AS497" i="1"/>
  <c r="O497" i="1"/>
  <c r="G497" i="1"/>
  <c r="AT496" i="1"/>
  <c r="AS496" i="1"/>
  <c r="O496" i="1"/>
  <c r="G496" i="1"/>
  <c r="AT495" i="1"/>
  <c r="AS495" i="1"/>
  <c r="O495" i="1"/>
  <c r="G495" i="1"/>
  <c r="AT494" i="1"/>
  <c r="AS494" i="1"/>
  <c r="O494" i="1"/>
  <c r="G494" i="1"/>
  <c r="AT493" i="1"/>
  <c r="AS493" i="1"/>
  <c r="O493" i="1"/>
  <c r="G493" i="1"/>
  <c r="AT492" i="1"/>
  <c r="AS492" i="1"/>
  <c r="O492" i="1"/>
  <c r="G492" i="1"/>
  <c r="AT491" i="1"/>
  <c r="AS491" i="1"/>
  <c r="O491" i="1"/>
  <c r="G491" i="1"/>
  <c r="AT490" i="1"/>
  <c r="AS490" i="1"/>
  <c r="O490" i="1"/>
  <c r="G490" i="1"/>
  <c r="AT489" i="1"/>
  <c r="AS489" i="1"/>
  <c r="O489" i="1"/>
  <c r="G489" i="1"/>
  <c r="AT488" i="1"/>
  <c r="AS488" i="1"/>
  <c r="O488" i="1"/>
  <c r="G488" i="1"/>
  <c r="AT487" i="1"/>
  <c r="AS487" i="1"/>
  <c r="O487" i="1"/>
  <c r="G487" i="1"/>
  <c r="AT486" i="1"/>
  <c r="AS486" i="1"/>
  <c r="O486" i="1"/>
  <c r="G486" i="1"/>
  <c r="AT485" i="1"/>
  <c r="AS485" i="1"/>
  <c r="O485" i="1"/>
  <c r="G485" i="1"/>
  <c r="AT484" i="1"/>
  <c r="AS484" i="1"/>
  <c r="O484" i="1"/>
  <c r="G484" i="1"/>
  <c r="AT483" i="1"/>
  <c r="AS483" i="1"/>
  <c r="O483" i="1"/>
  <c r="G483" i="1"/>
  <c r="AT482" i="1"/>
  <c r="AS482" i="1"/>
  <c r="O482" i="1"/>
  <c r="G482" i="1"/>
  <c r="AT481" i="1"/>
  <c r="AS481" i="1"/>
  <c r="O481" i="1"/>
  <c r="G481" i="1"/>
  <c r="AT480" i="1"/>
  <c r="AS480" i="1"/>
  <c r="O480" i="1"/>
  <c r="G480" i="1"/>
  <c r="AT479" i="1"/>
  <c r="AS479" i="1"/>
  <c r="O479" i="1"/>
  <c r="G479" i="1"/>
  <c r="AT478" i="1"/>
  <c r="AS478" i="1"/>
  <c r="O478" i="1"/>
  <c r="G478" i="1"/>
  <c r="AT477" i="1"/>
  <c r="AS477" i="1"/>
  <c r="O477" i="1"/>
  <c r="G477" i="1"/>
  <c r="AT476" i="1"/>
  <c r="AS476" i="1"/>
  <c r="O476" i="1"/>
  <c r="G476" i="1"/>
  <c r="AT475" i="1"/>
  <c r="AS475" i="1"/>
  <c r="O475" i="1"/>
  <c r="G475" i="1"/>
  <c r="AT474" i="1"/>
  <c r="AS474" i="1"/>
  <c r="O474" i="1"/>
  <c r="G474" i="1"/>
  <c r="AT473" i="1"/>
  <c r="AS473" i="1"/>
  <c r="O473" i="1"/>
  <c r="G473" i="1"/>
  <c r="AT472" i="1"/>
  <c r="AS472" i="1"/>
  <c r="O472" i="1"/>
  <c r="G472" i="1"/>
  <c r="AT471" i="1"/>
  <c r="AS471" i="1"/>
  <c r="O471" i="1"/>
  <c r="G471" i="1"/>
  <c r="AT470" i="1"/>
  <c r="AS470" i="1"/>
  <c r="O470" i="1"/>
  <c r="G470" i="1"/>
  <c r="AT469" i="1"/>
  <c r="AS469" i="1"/>
  <c r="O469" i="1"/>
  <c r="G469" i="1"/>
  <c r="AT468" i="1"/>
  <c r="AS468" i="1"/>
  <c r="O468" i="1"/>
  <c r="G468" i="1"/>
  <c r="AT467" i="1"/>
  <c r="AS467" i="1"/>
  <c r="O467" i="1"/>
  <c r="G467" i="1"/>
  <c r="AT466" i="1"/>
  <c r="AS466" i="1"/>
  <c r="O466" i="1"/>
  <c r="G466" i="1"/>
  <c r="AT465" i="1"/>
  <c r="AS465" i="1"/>
  <c r="O465" i="1"/>
  <c r="G465" i="1"/>
  <c r="AT464" i="1"/>
  <c r="AS464" i="1"/>
  <c r="O464" i="1"/>
  <c r="G464" i="1"/>
  <c r="AT463" i="1"/>
  <c r="AS463" i="1"/>
  <c r="O463" i="1"/>
  <c r="G463" i="1"/>
  <c r="AT462" i="1"/>
  <c r="AS462" i="1"/>
  <c r="O462" i="1"/>
  <c r="G462" i="1"/>
  <c r="AT461" i="1"/>
  <c r="AS461" i="1"/>
  <c r="O461" i="1"/>
  <c r="G461" i="1"/>
  <c r="AT460" i="1"/>
  <c r="AS460" i="1"/>
  <c r="O460" i="1"/>
  <c r="G460" i="1"/>
  <c r="AT459" i="1"/>
  <c r="AS459" i="1"/>
  <c r="O459" i="1"/>
  <c r="G459" i="1"/>
  <c r="AT458" i="1"/>
  <c r="AS458" i="1"/>
  <c r="O458" i="1"/>
  <c r="G458" i="1"/>
  <c r="AT457" i="1"/>
  <c r="AS457" i="1"/>
  <c r="O457" i="1"/>
  <c r="G457" i="1"/>
  <c r="AT456" i="1"/>
  <c r="AS456" i="1"/>
  <c r="O456" i="1"/>
  <c r="G456" i="1"/>
  <c r="AT455" i="1"/>
  <c r="AS455" i="1"/>
  <c r="O455" i="1"/>
  <c r="G455" i="1"/>
  <c r="AT454" i="1"/>
  <c r="AS454" i="1"/>
  <c r="O454" i="1"/>
  <c r="G454" i="1"/>
  <c r="AT453" i="1"/>
  <c r="AS453" i="1"/>
  <c r="O453" i="1"/>
  <c r="G453" i="1"/>
  <c r="AT452" i="1"/>
  <c r="AS452" i="1"/>
  <c r="O452" i="1"/>
  <c r="G452" i="1"/>
  <c r="AT451" i="1"/>
  <c r="AS451" i="1"/>
  <c r="O451" i="1"/>
  <c r="G451" i="1"/>
  <c r="AT450" i="1"/>
  <c r="AS450" i="1"/>
  <c r="O450" i="1"/>
  <c r="G450" i="1"/>
  <c r="AT449" i="1"/>
  <c r="AS449" i="1"/>
  <c r="O449" i="1"/>
  <c r="G449" i="1"/>
  <c r="AT448" i="1"/>
  <c r="AS448" i="1"/>
  <c r="O448" i="1"/>
  <c r="G448" i="1"/>
  <c r="AT447" i="1"/>
  <c r="AS447" i="1"/>
  <c r="O447" i="1"/>
  <c r="G447" i="1"/>
  <c r="AT446" i="1"/>
  <c r="AS446" i="1"/>
  <c r="O446" i="1"/>
  <c r="G446" i="1"/>
  <c r="AT445" i="1"/>
  <c r="AS445" i="1"/>
  <c r="O445" i="1"/>
  <c r="G445" i="1"/>
  <c r="AT444" i="1"/>
  <c r="AS444" i="1"/>
  <c r="O444" i="1"/>
  <c r="G444" i="1"/>
  <c r="AT443" i="1"/>
  <c r="AS443" i="1"/>
  <c r="O443" i="1"/>
  <c r="G443" i="1"/>
  <c r="AT442" i="1"/>
  <c r="AS442" i="1"/>
  <c r="O442" i="1"/>
  <c r="G442" i="1"/>
  <c r="AT441" i="1"/>
  <c r="AS441" i="1"/>
  <c r="O441" i="1"/>
  <c r="G441" i="1"/>
  <c r="AT440" i="1"/>
  <c r="AS440" i="1"/>
  <c r="O440" i="1"/>
  <c r="G440" i="1"/>
  <c r="AT439" i="1"/>
  <c r="AS439" i="1"/>
  <c r="O439" i="1"/>
  <c r="G439" i="1"/>
  <c r="AT438" i="1"/>
  <c r="AS438" i="1"/>
  <c r="O438" i="1"/>
  <c r="G438" i="1"/>
  <c r="AT437" i="1"/>
  <c r="AS437" i="1"/>
  <c r="O437" i="1"/>
  <c r="G437" i="1"/>
  <c r="AT436" i="1"/>
  <c r="AS436" i="1"/>
  <c r="O436" i="1"/>
  <c r="G436" i="1"/>
  <c r="AT435" i="1"/>
  <c r="AS435" i="1"/>
  <c r="O435" i="1"/>
  <c r="G435" i="1"/>
  <c r="AT434" i="1"/>
  <c r="AS434" i="1"/>
  <c r="O434" i="1"/>
  <c r="G434" i="1"/>
  <c r="AT433" i="1"/>
  <c r="AS433" i="1"/>
  <c r="O433" i="1"/>
  <c r="G433" i="1"/>
  <c r="AT432" i="1"/>
  <c r="AS432" i="1"/>
  <c r="O432" i="1"/>
  <c r="G432" i="1"/>
  <c r="AT431" i="1"/>
  <c r="AS431" i="1"/>
  <c r="O431" i="1"/>
  <c r="G431" i="1"/>
  <c r="AT430" i="1"/>
  <c r="AS430" i="1"/>
  <c r="O430" i="1"/>
  <c r="G430" i="1"/>
  <c r="AT429" i="1"/>
  <c r="AS429" i="1"/>
  <c r="O429" i="1"/>
  <c r="G429" i="1"/>
  <c r="AT428" i="1"/>
  <c r="AS428" i="1"/>
  <c r="O428" i="1"/>
  <c r="G428" i="1"/>
  <c r="AT427" i="1"/>
  <c r="AS427" i="1"/>
  <c r="O427" i="1"/>
  <c r="G427" i="1"/>
  <c r="AT426" i="1"/>
  <c r="AS426" i="1"/>
  <c r="O426" i="1"/>
  <c r="G426" i="1"/>
  <c r="AT425" i="1"/>
  <c r="AS425" i="1"/>
  <c r="O425" i="1"/>
  <c r="G425" i="1"/>
  <c r="AT424" i="1"/>
  <c r="AS424" i="1"/>
  <c r="O424" i="1"/>
  <c r="G424" i="1"/>
  <c r="AT423" i="1"/>
  <c r="AS423" i="1"/>
  <c r="O423" i="1"/>
  <c r="G423" i="1"/>
  <c r="AT422" i="1"/>
  <c r="AS422" i="1"/>
  <c r="O422" i="1"/>
  <c r="G422" i="1"/>
  <c r="AT421" i="1"/>
  <c r="AS421" i="1"/>
  <c r="O421" i="1"/>
  <c r="G421" i="1"/>
  <c r="AT420" i="1"/>
  <c r="AS420" i="1"/>
  <c r="O420" i="1"/>
  <c r="G420" i="1"/>
  <c r="AT419" i="1"/>
  <c r="AS419" i="1"/>
  <c r="O419" i="1"/>
  <c r="G419" i="1"/>
  <c r="AT418" i="1"/>
  <c r="AS418" i="1"/>
  <c r="O418" i="1"/>
  <c r="G418" i="1"/>
  <c r="AT417" i="1"/>
  <c r="AS417" i="1"/>
  <c r="O417" i="1"/>
  <c r="G417" i="1"/>
  <c r="AT416" i="1"/>
  <c r="AS416" i="1"/>
  <c r="O416" i="1"/>
  <c r="G416" i="1"/>
  <c r="O415" i="1"/>
  <c r="G415" i="1"/>
  <c r="AT414" i="1"/>
  <c r="AS414" i="1"/>
  <c r="O414" i="1"/>
  <c r="G414" i="1"/>
  <c r="AT413" i="1"/>
  <c r="AS413" i="1"/>
  <c r="O413" i="1"/>
  <c r="G413" i="1"/>
  <c r="AT412" i="1"/>
  <c r="AS412" i="1"/>
  <c r="O412" i="1"/>
  <c r="G412" i="1"/>
  <c r="AT411" i="1"/>
  <c r="AS411" i="1"/>
  <c r="O411" i="1"/>
  <c r="G411" i="1"/>
  <c r="AT410" i="1"/>
  <c r="AS410" i="1"/>
  <c r="O410" i="1"/>
  <c r="G410" i="1"/>
  <c r="AT409" i="1"/>
  <c r="AS409" i="1"/>
  <c r="O409" i="1"/>
  <c r="G409" i="1"/>
  <c r="AT408" i="1"/>
  <c r="AS408" i="1"/>
  <c r="O408" i="1"/>
  <c r="G408" i="1"/>
  <c r="AT407" i="1"/>
  <c r="AS407" i="1"/>
  <c r="O407" i="1"/>
  <c r="G407" i="1"/>
  <c r="AT406" i="1"/>
  <c r="AS406" i="1"/>
  <c r="O406" i="1"/>
  <c r="G406" i="1"/>
  <c r="AT405" i="1"/>
  <c r="AS405" i="1"/>
  <c r="O405" i="1"/>
  <c r="G405" i="1"/>
  <c r="AT404" i="1"/>
  <c r="AS404" i="1"/>
  <c r="O404" i="1"/>
  <c r="G404" i="1"/>
  <c r="AT403" i="1"/>
  <c r="AS403" i="1"/>
  <c r="O403" i="1"/>
  <c r="G403" i="1"/>
  <c r="AT402" i="1"/>
  <c r="AS402" i="1"/>
  <c r="O402" i="1"/>
  <c r="G402" i="1"/>
  <c r="AT401" i="1"/>
  <c r="AS401" i="1"/>
  <c r="O401" i="1"/>
  <c r="G401" i="1"/>
  <c r="AT400" i="1"/>
  <c r="AS400" i="1"/>
  <c r="O400" i="1"/>
  <c r="G400" i="1"/>
  <c r="AT399" i="1"/>
  <c r="AS399" i="1"/>
  <c r="O399" i="1"/>
  <c r="G399" i="1"/>
  <c r="AT398" i="1"/>
  <c r="AS398" i="1"/>
  <c r="O398" i="1"/>
  <c r="G398" i="1"/>
  <c r="AT397" i="1"/>
  <c r="AS397" i="1"/>
  <c r="O397" i="1"/>
  <c r="G397" i="1"/>
  <c r="AT396" i="1"/>
  <c r="AS396" i="1"/>
  <c r="O396" i="1"/>
  <c r="G396" i="1"/>
  <c r="AT395" i="1"/>
  <c r="AS395" i="1"/>
  <c r="O395" i="1"/>
  <c r="G395" i="1"/>
  <c r="AT394" i="1"/>
  <c r="AS394" i="1"/>
  <c r="O394" i="1"/>
  <c r="G394" i="1"/>
  <c r="AT393" i="1"/>
  <c r="AS393" i="1"/>
  <c r="O393" i="1"/>
  <c r="G393" i="1"/>
  <c r="AT392" i="1"/>
  <c r="AS392" i="1"/>
  <c r="O392" i="1"/>
  <c r="G392" i="1"/>
  <c r="AT391" i="1"/>
  <c r="AS391" i="1"/>
  <c r="O391" i="1"/>
  <c r="G391" i="1"/>
  <c r="AT390" i="1"/>
  <c r="AS390" i="1"/>
  <c r="O390" i="1"/>
  <c r="G390" i="1"/>
  <c r="AT389" i="1"/>
  <c r="AS389" i="1"/>
  <c r="O389" i="1"/>
  <c r="G389" i="1"/>
  <c r="AT388" i="1"/>
  <c r="AS388" i="1"/>
  <c r="O388" i="1"/>
  <c r="G388" i="1"/>
  <c r="AT387" i="1"/>
  <c r="AS387" i="1"/>
  <c r="O387" i="1"/>
  <c r="G387" i="1"/>
  <c r="AT386" i="1"/>
  <c r="AS386" i="1"/>
  <c r="O386" i="1"/>
  <c r="G386" i="1"/>
  <c r="AT385" i="1"/>
  <c r="AS385" i="1"/>
  <c r="O385" i="1"/>
  <c r="G385" i="1"/>
  <c r="AT384" i="1"/>
  <c r="AS384" i="1"/>
  <c r="O384" i="1"/>
  <c r="G384" i="1"/>
  <c r="AT383" i="1"/>
  <c r="AS383" i="1"/>
  <c r="O383" i="1"/>
  <c r="G383" i="1"/>
  <c r="AT382" i="1"/>
  <c r="AS382" i="1"/>
  <c r="O382" i="1"/>
  <c r="G382" i="1"/>
  <c r="AT381" i="1"/>
  <c r="AS381" i="1"/>
  <c r="O381" i="1"/>
  <c r="G381" i="1"/>
  <c r="AT380" i="1"/>
  <c r="AS380" i="1"/>
  <c r="O380" i="1"/>
  <c r="G380" i="1"/>
  <c r="AT379" i="1"/>
  <c r="AS379" i="1"/>
  <c r="O379" i="1"/>
  <c r="G379" i="1"/>
  <c r="AT378" i="1"/>
  <c r="AS378" i="1"/>
  <c r="O378" i="1"/>
  <c r="G378" i="1"/>
  <c r="AT377" i="1"/>
  <c r="AS377" i="1"/>
  <c r="O377" i="1"/>
  <c r="G377" i="1"/>
  <c r="AT376" i="1"/>
  <c r="AS376" i="1"/>
  <c r="O376" i="1"/>
  <c r="G376" i="1"/>
  <c r="AT375" i="1"/>
  <c r="AS375" i="1"/>
  <c r="O375" i="1"/>
  <c r="G375" i="1"/>
  <c r="AT374" i="1"/>
  <c r="AS374" i="1"/>
  <c r="O374" i="1"/>
  <c r="G374" i="1"/>
  <c r="AT373" i="1"/>
  <c r="AS373" i="1"/>
  <c r="O373" i="1"/>
  <c r="G373" i="1"/>
  <c r="AT372" i="1"/>
  <c r="AS372" i="1"/>
  <c r="O372" i="1"/>
  <c r="G372" i="1"/>
  <c r="AT371" i="1"/>
  <c r="AS371" i="1"/>
  <c r="O371" i="1"/>
  <c r="G371" i="1"/>
  <c r="AT370" i="1"/>
  <c r="AS370" i="1"/>
  <c r="O370" i="1"/>
  <c r="G370" i="1"/>
  <c r="AT369" i="1"/>
  <c r="AS369" i="1"/>
  <c r="O369" i="1"/>
  <c r="G369" i="1"/>
  <c r="AT368" i="1"/>
  <c r="AS368" i="1"/>
  <c r="O368" i="1"/>
  <c r="G368" i="1"/>
  <c r="AT367" i="1"/>
  <c r="AS367" i="1"/>
  <c r="O367" i="1"/>
  <c r="G367" i="1"/>
  <c r="AT366" i="1"/>
  <c r="AS366" i="1"/>
  <c r="O366" i="1"/>
  <c r="G366" i="1"/>
  <c r="AT365" i="1"/>
  <c r="AS365" i="1"/>
  <c r="O365" i="1"/>
  <c r="G365" i="1"/>
  <c r="AT364" i="1"/>
  <c r="AS364" i="1"/>
  <c r="O364" i="1"/>
  <c r="G364" i="1"/>
  <c r="AT363" i="1"/>
  <c r="AS363" i="1"/>
  <c r="O363" i="1"/>
  <c r="G363" i="1"/>
  <c r="AT362" i="1"/>
  <c r="AS362" i="1"/>
  <c r="O362" i="1"/>
  <c r="G362" i="1"/>
  <c r="AT361" i="1"/>
  <c r="AS361" i="1"/>
  <c r="O361" i="1"/>
  <c r="G361" i="1"/>
  <c r="AT360" i="1"/>
  <c r="AS360" i="1"/>
  <c r="O360" i="1"/>
  <c r="G360" i="1"/>
  <c r="AT359" i="1"/>
  <c r="AS359" i="1"/>
  <c r="O359" i="1"/>
  <c r="G359" i="1"/>
  <c r="AT358" i="1"/>
  <c r="AS358" i="1"/>
  <c r="O358" i="1"/>
  <c r="G358" i="1"/>
  <c r="AT357" i="1"/>
  <c r="AS357" i="1"/>
  <c r="O357" i="1"/>
  <c r="G357" i="1"/>
  <c r="AT356" i="1"/>
  <c r="AS356" i="1"/>
  <c r="O356" i="1"/>
  <c r="G356" i="1"/>
  <c r="AT355" i="1"/>
  <c r="AS355" i="1"/>
  <c r="O355" i="1"/>
  <c r="G355" i="1"/>
  <c r="AT354" i="1"/>
  <c r="AS354" i="1"/>
  <c r="O354" i="1"/>
  <c r="G354" i="1"/>
  <c r="AT353" i="1"/>
  <c r="AS353" i="1"/>
  <c r="O353" i="1"/>
  <c r="G353" i="1"/>
  <c r="AT352" i="1"/>
  <c r="AS352" i="1"/>
  <c r="O352" i="1"/>
  <c r="G352" i="1"/>
  <c r="AT351" i="1"/>
  <c r="AS351" i="1"/>
  <c r="O351" i="1"/>
  <c r="G351" i="1"/>
  <c r="AT350" i="1"/>
  <c r="AS350" i="1"/>
  <c r="O350" i="1"/>
  <c r="G350" i="1"/>
  <c r="AT349" i="1"/>
  <c r="AS349" i="1"/>
  <c r="O349" i="1"/>
  <c r="G349" i="1"/>
  <c r="AT348" i="1"/>
  <c r="AS348" i="1"/>
  <c r="O348" i="1"/>
  <c r="G348" i="1"/>
  <c r="AT347" i="1"/>
  <c r="AS347" i="1"/>
  <c r="O347" i="1"/>
  <c r="G347" i="1"/>
  <c r="AT346" i="1"/>
  <c r="AS346" i="1"/>
  <c r="O346" i="1"/>
  <c r="G346" i="1"/>
  <c r="AT345" i="1"/>
  <c r="AS345" i="1"/>
  <c r="O345" i="1"/>
  <c r="G345" i="1"/>
  <c r="AT344" i="1"/>
  <c r="AS344" i="1"/>
  <c r="O344" i="1"/>
  <c r="G344" i="1"/>
  <c r="AT343" i="1"/>
  <c r="AS343" i="1"/>
  <c r="O343" i="1"/>
  <c r="G343" i="1"/>
  <c r="AT342" i="1"/>
  <c r="AS342" i="1"/>
  <c r="O342" i="1"/>
  <c r="G342" i="1"/>
  <c r="AT341" i="1"/>
  <c r="AS341" i="1"/>
  <c r="O341" i="1"/>
  <c r="G341" i="1"/>
  <c r="AT340" i="1"/>
  <c r="AS340" i="1"/>
  <c r="O340" i="1"/>
  <c r="G340" i="1"/>
  <c r="AT339" i="1"/>
  <c r="AS339" i="1"/>
  <c r="O339" i="1"/>
  <c r="G339" i="1"/>
  <c r="AT338" i="1"/>
  <c r="AS338" i="1"/>
  <c r="O338" i="1"/>
  <c r="G338" i="1"/>
  <c r="AT337" i="1"/>
  <c r="AS337" i="1"/>
  <c r="O337" i="1"/>
  <c r="G337" i="1"/>
  <c r="AT336" i="1"/>
  <c r="AS336" i="1"/>
  <c r="O336" i="1"/>
  <c r="G336" i="1"/>
  <c r="AT335" i="1"/>
  <c r="AS335" i="1"/>
  <c r="O335" i="1"/>
  <c r="G335" i="1"/>
  <c r="AT334" i="1"/>
  <c r="AS334" i="1"/>
  <c r="O334" i="1"/>
  <c r="G334" i="1"/>
  <c r="O333" i="1"/>
  <c r="G333" i="1"/>
  <c r="AT332" i="1"/>
  <c r="AS332" i="1"/>
  <c r="O332" i="1"/>
  <c r="G332" i="1"/>
  <c r="AT331" i="1"/>
  <c r="AS331" i="1"/>
  <c r="O331" i="1"/>
  <c r="G331" i="1"/>
  <c r="AT330" i="1"/>
  <c r="AS330" i="1"/>
  <c r="O330" i="1"/>
  <c r="G330" i="1"/>
  <c r="AT329" i="1"/>
  <c r="AS329" i="1"/>
  <c r="O329" i="1"/>
  <c r="G329" i="1"/>
  <c r="O328" i="1"/>
  <c r="G328" i="1"/>
  <c r="AT327" i="1"/>
  <c r="AS327" i="1"/>
  <c r="O327" i="1"/>
  <c r="G327" i="1"/>
  <c r="AT326" i="1"/>
  <c r="AS326" i="1"/>
  <c r="O326" i="1"/>
  <c r="G326" i="1"/>
  <c r="AT325" i="1"/>
  <c r="AS325" i="1"/>
  <c r="O325" i="1"/>
  <c r="G325" i="1"/>
  <c r="AT324" i="1"/>
  <c r="AS324" i="1"/>
  <c r="O324" i="1"/>
  <c r="G324" i="1"/>
  <c r="AT323" i="1"/>
  <c r="AS323" i="1"/>
  <c r="O323" i="1"/>
  <c r="G323" i="1"/>
  <c r="AT322" i="1"/>
  <c r="AS322" i="1"/>
  <c r="O322" i="1"/>
  <c r="G322" i="1"/>
  <c r="AT321" i="1"/>
  <c r="AS321" i="1"/>
  <c r="O321" i="1"/>
  <c r="G321" i="1"/>
  <c r="AT320" i="1"/>
  <c r="AS320" i="1"/>
  <c r="O320" i="1"/>
  <c r="G320" i="1"/>
  <c r="AT319" i="1"/>
  <c r="AS319" i="1"/>
  <c r="O319" i="1"/>
  <c r="G319" i="1"/>
  <c r="AT318" i="1"/>
  <c r="AS318" i="1"/>
  <c r="O318" i="1"/>
  <c r="G318" i="1"/>
  <c r="AT317" i="1"/>
  <c r="AS317" i="1"/>
  <c r="O317" i="1"/>
  <c r="G317" i="1"/>
  <c r="AT316" i="1"/>
  <c r="AS316" i="1"/>
  <c r="O316" i="1"/>
  <c r="G316" i="1"/>
  <c r="O315" i="1"/>
  <c r="G315" i="1"/>
  <c r="AT314" i="1"/>
  <c r="AS314" i="1"/>
  <c r="O314" i="1"/>
  <c r="G314" i="1"/>
  <c r="AT313" i="1"/>
  <c r="AS313" i="1"/>
  <c r="O313" i="1"/>
  <c r="G313" i="1"/>
  <c r="AT312" i="1"/>
  <c r="AS312" i="1"/>
  <c r="O312" i="1"/>
  <c r="G312" i="1"/>
  <c r="AT311" i="1"/>
  <c r="AS311" i="1"/>
  <c r="O311" i="1"/>
  <c r="G311" i="1"/>
  <c r="AT310" i="1"/>
  <c r="AS310" i="1"/>
  <c r="O310" i="1"/>
  <c r="G310" i="1"/>
  <c r="AT309" i="1"/>
  <c r="AS309" i="1"/>
  <c r="O309" i="1"/>
  <c r="G309" i="1"/>
  <c r="AT308" i="1"/>
  <c r="AS308" i="1"/>
  <c r="O308" i="1"/>
  <c r="G308" i="1"/>
  <c r="AT307" i="1"/>
  <c r="AS307" i="1"/>
  <c r="O307" i="1"/>
  <c r="G307" i="1"/>
  <c r="AT306" i="1"/>
  <c r="AS306" i="1"/>
  <c r="O306" i="1"/>
  <c r="G306" i="1"/>
  <c r="AT305" i="1"/>
  <c r="AS305" i="1"/>
  <c r="O305" i="1"/>
  <c r="G305" i="1"/>
  <c r="AT304" i="1"/>
  <c r="AS304" i="1"/>
  <c r="O304" i="1"/>
  <c r="G304" i="1"/>
  <c r="AT303" i="1"/>
  <c r="AS303" i="1"/>
  <c r="O303" i="1"/>
  <c r="G303" i="1"/>
  <c r="AT302" i="1"/>
  <c r="AS302" i="1"/>
  <c r="O302" i="1"/>
  <c r="G302" i="1"/>
  <c r="AT301" i="1"/>
  <c r="AS301" i="1"/>
  <c r="O301" i="1"/>
  <c r="G301" i="1"/>
  <c r="AT300" i="1"/>
  <c r="AS300" i="1"/>
  <c r="O300" i="1"/>
  <c r="G300" i="1"/>
  <c r="AT299" i="1"/>
  <c r="AS299" i="1"/>
  <c r="O299" i="1"/>
  <c r="G299" i="1"/>
  <c r="AT298" i="1"/>
  <c r="AS298" i="1"/>
  <c r="O298" i="1"/>
  <c r="G298" i="1"/>
  <c r="AT297" i="1"/>
  <c r="AS297" i="1"/>
  <c r="O297" i="1"/>
  <c r="G297" i="1"/>
  <c r="AT296" i="1"/>
  <c r="AS296" i="1"/>
  <c r="O296" i="1"/>
  <c r="G296" i="1"/>
  <c r="AT295" i="1"/>
  <c r="AS295" i="1"/>
  <c r="O295" i="1"/>
  <c r="G295" i="1"/>
  <c r="AT294" i="1"/>
  <c r="AS294" i="1"/>
  <c r="O294" i="1"/>
  <c r="G294" i="1"/>
  <c r="AT293" i="1"/>
  <c r="AS293" i="1"/>
  <c r="O293" i="1"/>
  <c r="G293" i="1"/>
  <c r="O292" i="1"/>
  <c r="G292" i="1"/>
  <c r="AT291" i="1"/>
  <c r="AS291" i="1"/>
  <c r="O291" i="1"/>
  <c r="G291" i="1"/>
  <c r="AT290" i="1"/>
  <c r="AS290" i="1"/>
  <c r="O290" i="1"/>
  <c r="G290" i="1"/>
  <c r="AT289" i="1"/>
  <c r="AS289" i="1"/>
  <c r="O289" i="1"/>
  <c r="G289" i="1"/>
  <c r="AT288" i="1"/>
  <c r="AS288" i="1"/>
  <c r="O288" i="1"/>
  <c r="G288" i="1"/>
  <c r="AT287" i="1"/>
  <c r="AS287" i="1"/>
  <c r="O287" i="1"/>
  <c r="G287" i="1"/>
  <c r="AT286" i="1"/>
  <c r="AS286" i="1"/>
  <c r="O286" i="1"/>
  <c r="G286" i="1"/>
  <c r="AT285" i="1"/>
  <c r="AS285" i="1"/>
  <c r="O285" i="1"/>
  <c r="G285" i="1"/>
  <c r="AT284" i="1"/>
  <c r="AS284" i="1"/>
  <c r="O284" i="1"/>
  <c r="G284" i="1"/>
  <c r="AT283" i="1"/>
  <c r="AS283" i="1"/>
  <c r="O283" i="1"/>
  <c r="G283" i="1"/>
  <c r="AT282" i="1"/>
  <c r="AS282" i="1"/>
  <c r="O282" i="1"/>
  <c r="G282" i="1"/>
  <c r="AT281" i="1"/>
  <c r="AS281" i="1"/>
  <c r="O281" i="1"/>
  <c r="G281" i="1"/>
  <c r="AT280" i="1"/>
  <c r="AS280" i="1"/>
  <c r="O280" i="1"/>
  <c r="G280" i="1"/>
  <c r="AT279" i="1"/>
  <c r="AS279" i="1"/>
  <c r="O279" i="1"/>
  <c r="G279" i="1"/>
  <c r="AT278" i="1"/>
  <c r="AS278" i="1"/>
  <c r="O278" i="1"/>
  <c r="G278" i="1"/>
  <c r="AT277" i="1"/>
  <c r="AS277" i="1"/>
  <c r="O277" i="1"/>
  <c r="G277" i="1"/>
  <c r="AT276" i="1"/>
  <c r="AS276" i="1"/>
  <c r="O276" i="1"/>
  <c r="G276" i="1"/>
  <c r="AT275" i="1"/>
  <c r="AS275" i="1"/>
  <c r="O275" i="1"/>
  <c r="G275" i="1"/>
  <c r="AT274" i="1"/>
  <c r="AS274" i="1"/>
  <c r="O274" i="1"/>
  <c r="G274" i="1"/>
  <c r="AT273" i="1"/>
  <c r="AS273" i="1"/>
  <c r="O273" i="1"/>
  <c r="G273" i="1"/>
  <c r="AT272" i="1"/>
  <c r="AS272" i="1"/>
  <c r="O272" i="1"/>
  <c r="G272" i="1"/>
  <c r="AT271" i="1"/>
  <c r="AS271" i="1"/>
  <c r="O271" i="1"/>
  <c r="G271" i="1"/>
  <c r="AT270" i="1"/>
  <c r="AS270" i="1"/>
  <c r="O270" i="1"/>
  <c r="G270" i="1"/>
  <c r="AT269" i="1"/>
  <c r="AS269" i="1"/>
  <c r="O269" i="1"/>
  <c r="G269" i="1"/>
  <c r="AT268" i="1"/>
  <c r="AS268" i="1"/>
  <c r="O268" i="1"/>
  <c r="G268" i="1"/>
  <c r="AT267" i="1"/>
  <c r="AS267" i="1"/>
  <c r="O267" i="1"/>
  <c r="G267" i="1"/>
  <c r="AT266" i="1"/>
  <c r="AS266" i="1"/>
  <c r="O266" i="1"/>
  <c r="G266" i="1"/>
  <c r="AT265" i="1"/>
  <c r="AS265" i="1"/>
  <c r="O265" i="1"/>
  <c r="G265" i="1"/>
  <c r="AT264" i="1"/>
  <c r="AS264" i="1"/>
  <c r="O264" i="1"/>
  <c r="G264" i="1"/>
  <c r="AT263" i="1"/>
  <c r="AS263" i="1"/>
  <c r="O263" i="1"/>
  <c r="G263" i="1"/>
  <c r="AT262" i="1"/>
  <c r="AS262" i="1"/>
  <c r="O262" i="1"/>
  <c r="G262" i="1"/>
  <c r="AT261" i="1"/>
  <c r="AS261" i="1"/>
  <c r="O261" i="1"/>
  <c r="G261" i="1"/>
  <c r="AT260" i="1"/>
  <c r="AS260" i="1"/>
  <c r="O260" i="1"/>
  <c r="G260" i="1"/>
  <c r="AT259" i="1"/>
  <c r="AS259" i="1"/>
  <c r="O259" i="1"/>
  <c r="G259" i="1"/>
  <c r="AT258" i="1"/>
  <c r="AS258" i="1"/>
  <c r="O258" i="1"/>
  <c r="G258" i="1"/>
  <c r="AT257" i="1"/>
  <c r="AS257" i="1"/>
  <c r="O257" i="1"/>
  <c r="G257" i="1"/>
  <c r="AT256" i="1"/>
  <c r="AS256" i="1"/>
  <c r="O256" i="1"/>
  <c r="G256" i="1"/>
  <c r="AT255" i="1"/>
  <c r="AS255" i="1"/>
  <c r="O255" i="1"/>
  <c r="G255" i="1"/>
  <c r="AT254" i="1"/>
  <c r="AS254" i="1"/>
  <c r="O254" i="1"/>
  <c r="G254" i="1"/>
  <c r="AT253" i="1"/>
  <c r="AS253" i="1"/>
  <c r="O253" i="1"/>
  <c r="G253" i="1"/>
  <c r="AT252" i="1"/>
  <c r="AS252" i="1"/>
  <c r="O252" i="1"/>
  <c r="G252" i="1"/>
  <c r="AT251" i="1"/>
  <c r="AS251" i="1"/>
  <c r="O251" i="1"/>
  <c r="G251" i="1"/>
  <c r="AT250" i="1"/>
  <c r="AS250" i="1"/>
  <c r="O250" i="1"/>
  <c r="G250" i="1"/>
  <c r="AT249" i="1"/>
  <c r="AS249" i="1"/>
  <c r="O249" i="1"/>
  <c r="G249" i="1"/>
  <c r="AT248" i="1"/>
  <c r="AS248" i="1"/>
  <c r="O248" i="1"/>
  <c r="G248" i="1"/>
  <c r="AT247" i="1"/>
  <c r="AS247" i="1"/>
  <c r="O247" i="1"/>
  <c r="G247" i="1"/>
  <c r="AT246" i="1"/>
  <c r="AS246" i="1"/>
  <c r="O246" i="1"/>
  <c r="G246" i="1"/>
  <c r="AT245" i="1"/>
  <c r="AS245" i="1"/>
  <c r="O245" i="1"/>
  <c r="G245" i="1"/>
  <c r="AT244" i="1"/>
  <c r="AS244" i="1"/>
  <c r="O244" i="1"/>
  <c r="G244" i="1"/>
  <c r="AT243" i="1"/>
  <c r="AS243" i="1"/>
  <c r="O243" i="1"/>
  <c r="G243" i="1"/>
  <c r="AT242" i="1"/>
  <c r="AS242" i="1"/>
  <c r="O242" i="1"/>
  <c r="G242" i="1"/>
  <c r="AT241" i="1"/>
  <c r="AS241" i="1"/>
  <c r="O241" i="1"/>
  <c r="G241" i="1"/>
  <c r="AT240" i="1"/>
  <c r="AS240" i="1"/>
  <c r="O240" i="1"/>
  <c r="G240" i="1"/>
  <c r="AT239" i="1"/>
  <c r="AS239" i="1"/>
  <c r="O239" i="1"/>
  <c r="G239" i="1"/>
  <c r="G238" i="1"/>
  <c r="AT237" i="1"/>
  <c r="AS237" i="1"/>
  <c r="O237" i="1"/>
  <c r="G237" i="1"/>
  <c r="AT236" i="1"/>
  <c r="AS236" i="1"/>
  <c r="O236" i="1"/>
  <c r="G236" i="1"/>
  <c r="AT235" i="1"/>
  <c r="AS235" i="1"/>
  <c r="O235" i="1"/>
  <c r="G235" i="1"/>
  <c r="AT234" i="1"/>
  <c r="AS234" i="1"/>
  <c r="O234" i="1"/>
  <c r="G234" i="1"/>
  <c r="AT233" i="1"/>
  <c r="AS233" i="1"/>
  <c r="O233" i="1"/>
  <c r="G233" i="1"/>
  <c r="AT232" i="1"/>
  <c r="AS232" i="1"/>
  <c r="O232" i="1"/>
  <c r="G232" i="1"/>
  <c r="AT231" i="1"/>
  <c r="AS231" i="1"/>
  <c r="O231" i="1"/>
  <c r="G231" i="1"/>
  <c r="AT230" i="1"/>
  <c r="AS230" i="1"/>
  <c r="O230" i="1"/>
  <c r="G230" i="1"/>
  <c r="AT229" i="1"/>
  <c r="AS229" i="1"/>
  <c r="O229" i="1"/>
  <c r="G229" i="1"/>
  <c r="AT228" i="1"/>
  <c r="AS228" i="1"/>
  <c r="O228" i="1"/>
  <c r="G228" i="1"/>
  <c r="AT227" i="1"/>
  <c r="AS227" i="1"/>
  <c r="O227" i="1"/>
  <c r="G227" i="1"/>
  <c r="AT226" i="1"/>
  <c r="AS226" i="1"/>
  <c r="O226" i="1"/>
  <c r="G226" i="1"/>
  <c r="AT225" i="1"/>
  <c r="AS225" i="1"/>
  <c r="O225" i="1"/>
  <c r="G225" i="1"/>
  <c r="AT224" i="1"/>
  <c r="AS224" i="1"/>
  <c r="O224" i="1"/>
  <c r="G224" i="1"/>
  <c r="AT223" i="1"/>
  <c r="AS223" i="1"/>
  <c r="O223" i="1"/>
  <c r="G223" i="1"/>
  <c r="AT222" i="1"/>
  <c r="AS222" i="1"/>
  <c r="O222" i="1"/>
  <c r="G222" i="1"/>
  <c r="AT221" i="1"/>
  <c r="AS221" i="1"/>
  <c r="O221" i="1"/>
  <c r="G221" i="1"/>
  <c r="O220" i="1"/>
  <c r="G220" i="1"/>
  <c r="AT219" i="1"/>
  <c r="AS219" i="1"/>
  <c r="O219" i="1"/>
  <c r="G219" i="1"/>
  <c r="AT218" i="1"/>
  <c r="AS218" i="1"/>
  <c r="O218" i="1"/>
  <c r="G218" i="1"/>
  <c r="AT217" i="1"/>
  <c r="AS217" i="1"/>
  <c r="O217" i="1"/>
  <c r="G217" i="1"/>
  <c r="AT216" i="1"/>
  <c r="AS216" i="1"/>
  <c r="O216" i="1"/>
  <c r="G216" i="1"/>
  <c r="AT215" i="1"/>
  <c r="AS215" i="1"/>
  <c r="O215" i="1"/>
  <c r="G215" i="1"/>
  <c r="AT214" i="1"/>
  <c r="AS214" i="1"/>
  <c r="O214" i="1"/>
  <c r="G214" i="1"/>
  <c r="AT213" i="1"/>
  <c r="AS213" i="1"/>
  <c r="O213" i="1"/>
  <c r="G213" i="1"/>
  <c r="AT212" i="1"/>
  <c r="AS212" i="1"/>
  <c r="O212" i="1"/>
  <c r="G212" i="1"/>
  <c r="AT211" i="1"/>
  <c r="AS211" i="1"/>
  <c r="O211" i="1"/>
  <c r="G211" i="1"/>
  <c r="AT210" i="1"/>
  <c r="AS210" i="1"/>
  <c r="O210" i="1"/>
  <c r="G210" i="1"/>
  <c r="AT209" i="1"/>
  <c r="AS209" i="1"/>
  <c r="O209" i="1"/>
  <c r="G209" i="1"/>
  <c r="AT208" i="1"/>
  <c r="AS208" i="1"/>
  <c r="O208" i="1"/>
  <c r="G208" i="1"/>
  <c r="AT207" i="1"/>
  <c r="AS207" i="1"/>
  <c r="O207" i="1"/>
  <c r="G207" i="1"/>
  <c r="AT206" i="1"/>
  <c r="AS206" i="1"/>
  <c r="O206" i="1"/>
  <c r="G206" i="1"/>
  <c r="AT205" i="1"/>
  <c r="AS205" i="1"/>
  <c r="O205" i="1"/>
  <c r="G205" i="1"/>
  <c r="AT204" i="1"/>
  <c r="AS204" i="1"/>
  <c r="O204" i="1"/>
  <c r="G204" i="1"/>
  <c r="AT203" i="1"/>
  <c r="AS203" i="1"/>
  <c r="O203" i="1"/>
  <c r="G203" i="1"/>
  <c r="AT202" i="1"/>
  <c r="AS202" i="1"/>
  <c r="O202" i="1"/>
  <c r="G202" i="1"/>
  <c r="AT201" i="1"/>
  <c r="AS201" i="1"/>
  <c r="O201" i="1"/>
  <c r="G201" i="1"/>
  <c r="AT200" i="1"/>
  <c r="AS200" i="1"/>
  <c r="O200" i="1"/>
  <c r="G200" i="1"/>
  <c r="AT199" i="1"/>
  <c r="AS199" i="1"/>
  <c r="O199" i="1"/>
  <c r="G199" i="1"/>
  <c r="AT198" i="1"/>
  <c r="AS198" i="1"/>
  <c r="O198" i="1"/>
  <c r="G198" i="1"/>
  <c r="AT197" i="1"/>
  <c r="AS197" i="1"/>
  <c r="O197" i="1"/>
  <c r="G197" i="1"/>
  <c r="AT196" i="1"/>
  <c r="AS196" i="1"/>
  <c r="O196" i="1"/>
  <c r="G196" i="1"/>
  <c r="AT195" i="1"/>
  <c r="AS195" i="1"/>
  <c r="O195" i="1"/>
  <c r="G195" i="1"/>
  <c r="AT194" i="1"/>
  <c r="AS194" i="1"/>
  <c r="O194" i="1"/>
  <c r="G194" i="1"/>
  <c r="AT193" i="1"/>
  <c r="AS193" i="1"/>
  <c r="O193" i="1"/>
  <c r="G193" i="1"/>
  <c r="AT192" i="1"/>
  <c r="AS192" i="1"/>
  <c r="O192" i="1"/>
  <c r="G192" i="1"/>
  <c r="AT191" i="1"/>
  <c r="AS191" i="1"/>
  <c r="O191" i="1"/>
  <c r="G191" i="1"/>
  <c r="AT190" i="1"/>
  <c r="AS190" i="1"/>
  <c r="O190" i="1"/>
  <c r="G190" i="1"/>
  <c r="AT189" i="1"/>
  <c r="AS189" i="1"/>
  <c r="O189" i="1"/>
  <c r="G189" i="1"/>
  <c r="AT188" i="1"/>
  <c r="AS188" i="1"/>
  <c r="O188" i="1"/>
  <c r="G188" i="1"/>
  <c r="AT187" i="1"/>
  <c r="AS187" i="1"/>
  <c r="O187" i="1"/>
  <c r="G187" i="1"/>
  <c r="AT186" i="1"/>
  <c r="AS186" i="1"/>
  <c r="O186" i="1"/>
  <c r="G186" i="1"/>
  <c r="AT185" i="1"/>
  <c r="AS185" i="1"/>
  <c r="O185" i="1"/>
  <c r="G185" i="1"/>
  <c r="AT184" i="1"/>
  <c r="AS184" i="1"/>
  <c r="O184" i="1"/>
  <c r="G184" i="1"/>
  <c r="AT183" i="1"/>
  <c r="AS183" i="1"/>
  <c r="O183" i="1"/>
  <c r="G183" i="1"/>
  <c r="AT182" i="1"/>
  <c r="AS182" i="1"/>
  <c r="O182" i="1"/>
  <c r="G182" i="1"/>
  <c r="AT181" i="1"/>
  <c r="AS181" i="1"/>
  <c r="O181" i="1"/>
  <c r="G181" i="1"/>
  <c r="AT180" i="1"/>
  <c r="AS180" i="1"/>
  <c r="O180" i="1"/>
  <c r="G180" i="1"/>
  <c r="AT179" i="1"/>
  <c r="AS179" i="1"/>
  <c r="O179" i="1"/>
  <c r="G179" i="1"/>
  <c r="AT178" i="1"/>
  <c r="AS178" i="1"/>
  <c r="O178" i="1"/>
  <c r="G178" i="1"/>
  <c r="AT177" i="1"/>
  <c r="AS177" i="1"/>
  <c r="O177" i="1"/>
  <c r="G177" i="1"/>
  <c r="AT176" i="1"/>
  <c r="AS176" i="1"/>
  <c r="O176" i="1"/>
  <c r="G176" i="1"/>
  <c r="AT175" i="1"/>
  <c r="AS175" i="1"/>
  <c r="O175" i="1"/>
  <c r="G175" i="1"/>
  <c r="AT174" i="1"/>
  <c r="AS174" i="1"/>
  <c r="O174" i="1"/>
  <c r="G174" i="1"/>
  <c r="AT173" i="1"/>
  <c r="AS173" i="1"/>
  <c r="O173" i="1"/>
  <c r="G173" i="1"/>
  <c r="AT172" i="1"/>
  <c r="AS172" i="1"/>
  <c r="O172" i="1"/>
  <c r="G172" i="1"/>
  <c r="AT171" i="1"/>
  <c r="AS171" i="1"/>
  <c r="O171" i="1"/>
  <c r="G171" i="1"/>
  <c r="AT170" i="1"/>
  <c r="AS170" i="1"/>
  <c r="O170" i="1"/>
  <c r="G170" i="1"/>
  <c r="AT169" i="1"/>
  <c r="AS169" i="1"/>
  <c r="O169" i="1"/>
  <c r="G169" i="1"/>
  <c r="AT168" i="1"/>
  <c r="AS168" i="1"/>
  <c r="O168" i="1"/>
  <c r="G168" i="1"/>
  <c r="AT167" i="1"/>
  <c r="AS167" i="1"/>
  <c r="O167" i="1"/>
  <c r="G167" i="1"/>
  <c r="AT166" i="1"/>
  <c r="AS166" i="1"/>
  <c r="O166" i="1"/>
  <c r="G166" i="1"/>
  <c r="AT165" i="1"/>
  <c r="AS165" i="1"/>
  <c r="O165" i="1"/>
  <c r="G165" i="1"/>
  <c r="AT164" i="1"/>
  <c r="AS164" i="1"/>
  <c r="O164" i="1"/>
  <c r="G164" i="1"/>
  <c r="AT163" i="1"/>
  <c r="AS163" i="1"/>
  <c r="O163" i="1"/>
  <c r="G163" i="1"/>
  <c r="AT162" i="1"/>
  <c r="AS162" i="1"/>
  <c r="O162" i="1"/>
  <c r="G162" i="1"/>
  <c r="AT161" i="1"/>
  <c r="AS161" i="1"/>
  <c r="O161" i="1"/>
  <c r="G161" i="1"/>
  <c r="AT160" i="1"/>
  <c r="AS160" i="1"/>
  <c r="O160" i="1"/>
  <c r="G160" i="1"/>
  <c r="AT159" i="1"/>
  <c r="AS159" i="1"/>
  <c r="O159" i="1"/>
  <c r="G159" i="1"/>
  <c r="AT158" i="1"/>
  <c r="AS158" i="1"/>
  <c r="O158" i="1"/>
  <c r="G158" i="1"/>
  <c r="AT157" i="1"/>
  <c r="AS157" i="1"/>
  <c r="O157" i="1"/>
  <c r="G157" i="1"/>
  <c r="AT156" i="1"/>
  <c r="AS156" i="1"/>
  <c r="O156" i="1"/>
  <c r="G156" i="1"/>
  <c r="AT155" i="1"/>
  <c r="AS155" i="1"/>
  <c r="O155" i="1"/>
  <c r="G155" i="1"/>
  <c r="AT154" i="1"/>
  <c r="AS154" i="1"/>
  <c r="O154" i="1"/>
  <c r="G154" i="1"/>
  <c r="AT153" i="1"/>
  <c r="AS153" i="1"/>
  <c r="O153" i="1"/>
  <c r="G153" i="1"/>
  <c r="AT152" i="1"/>
  <c r="AS152" i="1"/>
  <c r="O152" i="1"/>
  <c r="G152" i="1"/>
  <c r="AT151" i="1"/>
  <c r="AS151" i="1"/>
  <c r="O151" i="1"/>
  <c r="G151" i="1"/>
  <c r="AT150" i="1"/>
  <c r="AS150" i="1"/>
  <c r="O150" i="1"/>
  <c r="G150" i="1"/>
  <c r="AT149" i="1"/>
  <c r="AS149" i="1"/>
  <c r="O149" i="1"/>
  <c r="G149" i="1"/>
  <c r="AT148" i="1"/>
  <c r="AS148" i="1"/>
  <c r="O148" i="1"/>
  <c r="G148" i="1"/>
  <c r="AT147" i="1"/>
  <c r="AS147" i="1"/>
  <c r="O147" i="1"/>
  <c r="G147" i="1"/>
  <c r="AT146" i="1"/>
  <c r="AS146" i="1"/>
  <c r="O146" i="1"/>
  <c r="G146" i="1"/>
  <c r="AT145" i="1"/>
  <c r="AS145" i="1"/>
  <c r="O145" i="1"/>
  <c r="G145" i="1"/>
  <c r="AT144" i="1"/>
  <c r="AS144" i="1"/>
  <c r="O144" i="1"/>
  <c r="G144" i="1"/>
  <c r="AT143" i="1"/>
  <c r="AS143" i="1"/>
  <c r="O143" i="1"/>
  <c r="G143" i="1"/>
  <c r="AT142" i="1"/>
  <c r="AS142" i="1"/>
  <c r="O142" i="1"/>
  <c r="G142" i="1"/>
  <c r="AT141" i="1"/>
  <c r="AS141" i="1"/>
  <c r="O141" i="1"/>
  <c r="G141" i="1"/>
  <c r="AT140" i="1"/>
  <c r="AS140" i="1"/>
  <c r="O140" i="1"/>
  <c r="G140" i="1"/>
  <c r="AT139" i="1"/>
  <c r="AS139" i="1"/>
  <c r="O139" i="1"/>
  <c r="G139" i="1"/>
  <c r="AT138" i="1"/>
  <c r="AS138" i="1"/>
  <c r="O138" i="1"/>
  <c r="G138" i="1"/>
  <c r="AT137" i="1"/>
  <c r="AS137" i="1"/>
  <c r="O137" i="1"/>
  <c r="G137" i="1"/>
  <c r="AT136" i="1"/>
  <c r="AS136" i="1"/>
  <c r="O136" i="1"/>
  <c r="G136" i="1"/>
  <c r="AT135" i="1"/>
  <c r="AS135" i="1"/>
  <c r="O135" i="1"/>
  <c r="G135" i="1"/>
  <c r="AT134" i="1"/>
  <c r="AS134" i="1"/>
  <c r="O134" i="1"/>
  <c r="G134" i="1"/>
  <c r="AT133" i="1"/>
  <c r="AS133" i="1"/>
  <c r="O133" i="1"/>
  <c r="G133" i="1"/>
  <c r="AT132" i="1"/>
  <c r="AS132" i="1"/>
  <c r="O132" i="1"/>
  <c r="G132" i="1"/>
  <c r="O131" i="1"/>
  <c r="G131" i="1"/>
  <c r="AT130" i="1"/>
  <c r="AS130" i="1"/>
  <c r="O130" i="1"/>
  <c r="G130" i="1"/>
  <c r="AT129" i="1"/>
  <c r="AS129" i="1"/>
  <c r="O129" i="1"/>
  <c r="G129" i="1"/>
  <c r="AT128" i="1"/>
  <c r="AS128" i="1"/>
  <c r="O128" i="1"/>
  <c r="G128" i="1"/>
  <c r="AT127" i="1"/>
  <c r="AS127" i="1"/>
  <c r="O127" i="1"/>
  <c r="G127" i="1"/>
  <c r="AT126" i="1"/>
  <c r="AS126" i="1"/>
  <c r="O126" i="1"/>
  <c r="G126" i="1"/>
  <c r="AT125" i="1"/>
  <c r="AS125" i="1"/>
  <c r="O125" i="1"/>
  <c r="G125" i="1"/>
  <c r="O124" i="1"/>
  <c r="G124" i="1"/>
  <c r="AT123" i="1"/>
  <c r="AS123" i="1"/>
  <c r="O123" i="1"/>
  <c r="G123" i="1"/>
  <c r="AT122" i="1"/>
  <c r="AS122" i="1"/>
  <c r="O122" i="1"/>
  <c r="G122" i="1"/>
  <c r="AT121" i="1"/>
  <c r="AS121" i="1"/>
  <c r="O121" i="1"/>
  <c r="G121" i="1"/>
  <c r="AT120" i="1"/>
  <c r="AS120" i="1"/>
  <c r="O120" i="1"/>
  <c r="G120" i="1"/>
  <c r="AT119" i="1"/>
  <c r="AS119" i="1"/>
  <c r="O119" i="1"/>
  <c r="G119" i="1"/>
  <c r="AT118" i="1"/>
  <c r="AS118" i="1"/>
  <c r="O118" i="1"/>
  <c r="G118" i="1"/>
  <c r="AT117" i="1"/>
  <c r="AS117" i="1"/>
  <c r="O117" i="1"/>
  <c r="G117" i="1"/>
  <c r="AT116" i="1"/>
  <c r="AS116" i="1"/>
  <c r="O116" i="1"/>
  <c r="G116" i="1"/>
  <c r="AT115" i="1"/>
  <c r="AS115" i="1"/>
  <c r="O115" i="1"/>
  <c r="G115" i="1"/>
  <c r="AT114" i="1"/>
  <c r="AS114" i="1"/>
  <c r="O114" i="1"/>
  <c r="G114" i="1"/>
  <c r="AT113" i="1"/>
  <c r="AS113" i="1"/>
  <c r="O113" i="1"/>
  <c r="G113" i="1"/>
  <c r="AT112" i="1"/>
  <c r="AS112" i="1"/>
  <c r="O112" i="1"/>
  <c r="G112" i="1"/>
  <c r="AT111" i="1"/>
  <c r="AS111" i="1"/>
  <c r="O111" i="1"/>
  <c r="G111" i="1"/>
  <c r="AT110" i="1"/>
  <c r="AS110" i="1"/>
  <c r="O110" i="1"/>
  <c r="G110" i="1"/>
  <c r="AT109" i="1"/>
  <c r="AS109" i="1"/>
  <c r="O109" i="1"/>
  <c r="G109" i="1"/>
  <c r="AT108" i="1"/>
  <c r="AS108" i="1"/>
  <c r="O108" i="1"/>
  <c r="G108" i="1"/>
  <c r="AT107" i="1"/>
  <c r="AS107" i="1"/>
  <c r="O107" i="1"/>
  <c r="G107" i="1"/>
  <c r="AT106" i="1"/>
  <c r="AS106" i="1"/>
  <c r="O106" i="1"/>
  <c r="G106" i="1"/>
  <c r="AT105" i="1"/>
  <c r="AS105" i="1"/>
  <c r="O105" i="1"/>
  <c r="G105" i="1"/>
  <c r="AT104" i="1"/>
  <c r="AS104" i="1"/>
  <c r="O104" i="1"/>
  <c r="G104" i="1"/>
  <c r="AT103" i="1"/>
  <c r="AS103" i="1"/>
  <c r="O103" i="1"/>
  <c r="G103" i="1"/>
  <c r="AT102" i="1"/>
  <c r="AS102" i="1"/>
  <c r="O102" i="1"/>
  <c r="G102" i="1"/>
  <c r="AT101" i="1"/>
  <c r="AS101" i="1"/>
  <c r="O101" i="1"/>
  <c r="G101" i="1"/>
  <c r="AT100" i="1"/>
  <c r="AS100" i="1"/>
  <c r="O100" i="1"/>
  <c r="G100" i="1"/>
  <c r="AT99" i="1"/>
  <c r="AS99" i="1"/>
  <c r="O99" i="1"/>
  <c r="G99" i="1"/>
  <c r="AT98" i="1"/>
  <c r="AS98" i="1"/>
  <c r="O98" i="1"/>
  <c r="G98" i="1"/>
  <c r="AT97" i="1"/>
  <c r="AS97" i="1"/>
  <c r="O97" i="1"/>
  <c r="G97" i="1"/>
  <c r="AT96" i="1"/>
  <c r="AS96" i="1"/>
  <c r="O96" i="1"/>
  <c r="G96" i="1"/>
  <c r="AT95" i="1"/>
  <c r="AS95" i="1"/>
  <c r="O95" i="1"/>
  <c r="G95" i="1"/>
  <c r="AT94" i="1"/>
  <c r="AS94" i="1"/>
  <c r="O94" i="1"/>
  <c r="G94" i="1"/>
  <c r="AT93" i="1"/>
  <c r="AS93" i="1"/>
  <c r="O93" i="1"/>
  <c r="G93" i="1"/>
  <c r="AT92" i="1"/>
  <c r="AS92" i="1"/>
  <c r="O92" i="1"/>
  <c r="G92" i="1"/>
  <c r="AT91" i="1"/>
  <c r="AS91" i="1"/>
  <c r="O91" i="1"/>
  <c r="G91" i="1"/>
  <c r="AT90" i="1"/>
  <c r="AS90" i="1"/>
  <c r="O90" i="1"/>
  <c r="G90" i="1"/>
  <c r="AT89" i="1"/>
  <c r="AS89" i="1"/>
  <c r="O89" i="1"/>
  <c r="G89" i="1"/>
  <c r="AT88" i="1"/>
  <c r="AS88" i="1"/>
  <c r="O88" i="1"/>
  <c r="G88" i="1"/>
  <c r="AT87" i="1"/>
  <c r="AS87" i="1"/>
  <c r="O87" i="1"/>
  <c r="G87" i="1"/>
  <c r="AT86" i="1"/>
  <c r="AS86" i="1"/>
  <c r="O86" i="1"/>
  <c r="G86" i="1"/>
  <c r="AT85" i="1"/>
  <c r="AS85" i="1"/>
  <c r="O85" i="1"/>
  <c r="G85" i="1"/>
  <c r="AT84" i="1"/>
  <c r="AS84" i="1"/>
  <c r="O84" i="1"/>
  <c r="G84" i="1"/>
  <c r="AT83" i="1"/>
  <c r="AS83" i="1"/>
  <c r="O83" i="1"/>
  <c r="G83" i="1"/>
  <c r="AT82" i="1"/>
  <c r="AS82" i="1"/>
  <c r="O82" i="1"/>
  <c r="G82" i="1"/>
  <c r="AT81" i="1"/>
  <c r="AS81" i="1"/>
  <c r="O81" i="1"/>
  <c r="G81" i="1"/>
  <c r="AT80" i="1"/>
  <c r="AS80" i="1"/>
  <c r="O80" i="1"/>
  <c r="G80" i="1"/>
  <c r="AT79" i="1"/>
  <c r="AS79" i="1"/>
  <c r="O79" i="1"/>
  <c r="G79" i="1"/>
  <c r="AT78" i="1"/>
  <c r="AS78" i="1"/>
  <c r="O78" i="1"/>
  <c r="G78" i="1"/>
  <c r="AT77" i="1"/>
  <c r="AS77" i="1"/>
  <c r="O77" i="1"/>
  <c r="G77" i="1"/>
  <c r="AT76" i="1"/>
  <c r="AS76" i="1"/>
  <c r="O76" i="1"/>
  <c r="G76" i="1"/>
  <c r="AT75" i="1"/>
  <c r="AS75" i="1"/>
  <c r="O75" i="1"/>
  <c r="G75" i="1"/>
  <c r="AT74" i="1"/>
  <c r="AS74" i="1"/>
  <c r="O74" i="1"/>
  <c r="G74" i="1"/>
  <c r="AT73" i="1"/>
  <c r="AS73" i="1"/>
  <c r="O73" i="1"/>
  <c r="G73" i="1"/>
  <c r="AT72" i="1"/>
  <c r="AS72" i="1"/>
  <c r="O72" i="1"/>
  <c r="G72" i="1"/>
  <c r="AT71" i="1"/>
  <c r="AS71" i="1"/>
  <c r="O71" i="1"/>
  <c r="G71" i="1"/>
  <c r="AT70" i="1"/>
  <c r="AS70" i="1"/>
  <c r="O70" i="1"/>
  <c r="G70" i="1"/>
  <c r="AT69" i="1"/>
  <c r="AS69" i="1"/>
  <c r="O69" i="1"/>
  <c r="G69" i="1"/>
  <c r="AT68" i="1"/>
  <c r="AS68" i="1"/>
  <c r="O68" i="1"/>
  <c r="G68" i="1"/>
  <c r="AT67" i="1"/>
  <c r="AS67" i="1"/>
  <c r="O67" i="1"/>
  <c r="G67" i="1"/>
  <c r="AT66" i="1"/>
  <c r="AS66" i="1"/>
  <c r="O66" i="1"/>
  <c r="G66" i="1"/>
  <c r="AT65" i="1"/>
  <c r="AS65" i="1"/>
  <c r="O65" i="1"/>
  <c r="G65" i="1"/>
  <c r="AT64" i="1"/>
  <c r="AS64" i="1"/>
  <c r="O64" i="1"/>
  <c r="G64" i="1"/>
  <c r="AT63" i="1"/>
  <c r="AS63" i="1"/>
  <c r="O63" i="1"/>
  <c r="G63" i="1"/>
  <c r="AT62" i="1"/>
  <c r="AS62" i="1"/>
  <c r="O62" i="1"/>
  <c r="G62" i="1"/>
  <c r="AT61" i="1"/>
  <c r="AS61" i="1"/>
  <c r="O61" i="1"/>
  <c r="G61" i="1"/>
  <c r="AT60" i="1"/>
  <c r="AS60" i="1"/>
  <c r="O60" i="1"/>
  <c r="G60" i="1"/>
  <c r="AT59" i="1"/>
  <c r="AS59" i="1"/>
  <c r="O59" i="1"/>
  <c r="G59" i="1"/>
  <c r="AT58" i="1"/>
  <c r="AS58" i="1"/>
  <c r="O58" i="1"/>
  <c r="G58" i="1"/>
  <c r="AT57" i="1"/>
  <c r="AS57" i="1"/>
  <c r="O57" i="1"/>
  <c r="G57" i="1"/>
  <c r="AT56" i="1"/>
  <c r="AS56" i="1"/>
  <c r="O56" i="1"/>
  <c r="G56" i="1"/>
  <c r="AT55" i="1"/>
  <c r="AS55" i="1"/>
  <c r="O55" i="1"/>
  <c r="G55" i="1"/>
  <c r="AT54" i="1"/>
  <c r="AS54" i="1"/>
  <c r="O54" i="1"/>
  <c r="G54" i="1"/>
  <c r="AT53" i="1"/>
  <c r="AS53" i="1"/>
  <c r="O53" i="1"/>
  <c r="G53" i="1"/>
  <c r="AT52" i="1"/>
  <c r="AS52" i="1"/>
  <c r="O52" i="1"/>
  <c r="G52" i="1"/>
  <c r="AT51" i="1"/>
  <c r="AS51" i="1"/>
  <c r="O51" i="1"/>
  <c r="G51" i="1"/>
  <c r="AT50" i="1"/>
  <c r="AS50" i="1"/>
  <c r="O50" i="1"/>
  <c r="G50" i="1"/>
  <c r="AT49" i="1"/>
  <c r="AS49" i="1"/>
  <c r="O49" i="1"/>
  <c r="G49" i="1"/>
  <c r="AT48" i="1"/>
  <c r="AS48" i="1"/>
  <c r="O48" i="1"/>
  <c r="G48" i="1"/>
  <c r="AT47" i="1"/>
  <c r="AS47" i="1"/>
  <c r="O47" i="1"/>
  <c r="G47" i="1"/>
  <c r="AT46" i="1"/>
  <c r="AS46" i="1"/>
  <c r="O46" i="1"/>
  <c r="G46" i="1"/>
  <c r="AT45" i="1"/>
  <c r="AS45" i="1"/>
  <c r="O45" i="1"/>
  <c r="G45" i="1"/>
  <c r="AT44" i="1"/>
  <c r="AS44" i="1"/>
  <c r="O44" i="1"/>
  <c r="G44" i="1"/>
  <c r="AT43" i="1"/>
  <c r="AS43" i="1"/>
  <c r="O43" i="1"/>
  <c r="G43" i="1"/>
  <c r="AT42" i="1"/>
  <c r="AS42" i="1"/>
  <c r="O42" i="1"/>
  <c r="G42" i="1"/>
  <c r="AT41" i="1"/>
  <c r="AS41" i="1"/>
  <c r="O41" i="1"/>
  <c r="G41" i="1"/>
  <c r="AT40" i="1"/>
  <c r="AS40" i="1"/>
  <c r="O40" i="1"/>
  <c r="G40" i="1"/>
  <c r="AT39" i="1"/>
  <c r="AS39" i="1"/>
  <c r="O39" i="1"/>
  <c r="G39" i="1"/>
  <c r="AT38" i="1"/>
  <c r="AS38" i="1"/>
  <c r="O38" i="1"/>
  <c r="G38" i="1"/>
  <c r="AT37" i="1"/>
  <c r="AS37" i="1"/>
  <c r="O37" i="1"/>
  <c r="G37" i="1"/>
  <c r="AT36" i="1"/>
  <c r="AS36" i="1"/>
  <c r="O36" i="1"/>
  <c r="G36" i="1"/>
  <c r="AT35" i="1"/>
  <c r="AS35" i="1"/>
  <c r="O35" i="1"/>
  <c r="G35" i="1"/>
  <c r="AT34" i="1"/>
  <c r="AS34" i="1"/>
  <c r="O34" i="1"/>
  <c r="G34" i="1"/>
  <c r="AT33" i="1"/>
  <c r="AS33" i="1"/>
  <c r="O33" i="1"/>
  <c r="G33" i="1"/>
  <c r="AT32" i="1"/>
  <c r="AS32" i="1"/>
  <c r="O32" i="1"/>
  <c r="G32" i="1"/>
  <c r="AT31" i="1"/>
  <c r="AS31" i="1"/>
  <c r="O31" i="1"/>
  <c r="G31" i="1"/>
  <c r="AT30" i="1"/>
  <c r="AS30" i="1"/>
  <c r="O30" i="1"/>
  <c r="G30" i="1"/>
  <c r="AT29" i="1"/>
  <c r="AS29" i="1"/>
  <c r="O29" i="1"/>
  <c r="G29" i="1"/>
  <c r="AT28" i="1"/>
  <c r="AS28" i="1"/>
  <c r="O28" i="1"/>
  <c r="G28" i="1"/>
  <c r="AT27" i="1"/>
  <c r="AS27" i="1"/>
  <c r="O27" i="1"/>
  <c r="G27" i="1"/>
  <c r="AT26" i="1"/>
  <c r="AS26" i="1"/>
  <c r="O26" i="1"/>
  <c r="G26" i="1"/>
  <c r="AT25" i="1"/>
  <c r="AS25" i="1"/>
  <c r="O25" i="1"/>
  <c r="G25" i="1"/>
  <c r="AT24" i="1"/>
  <c r="AS24" i="1"/>
  <c r="O24" i="1"/>
  <c r="G24" i="1"/>
  <c r="AT23" i="1"/>
  <c r="AS23" i="1"/>
  <c r="O23" i="1"/>
  <c r="G23" i="1"/>
  <c r="AT22" i="1"/>
  <c r="AS22" i="1"/>
  <c r="O22" i="1"/>
  <c r="G22" i="1"/>
  <c r="AT21" i="1"/>
  <c r="AS21" i="1"/>
  <c r="O21" i="1"/>
  <c r="G21" i="1"/>
  <c r="AT20" i="1"/>
  <c r="AS20" i="1"/>
  <c r="O20" i="1"/>
  <c r="G20" i="1"/>
  <c r="AT19" i="1"/>
  <c r="AS19" i="1"/>
  <c r="O19" i="1"/>
  <c r="G19" i="1"/>
  <c r="AT18" i="1"/>
  <c r="AS18" i="1"/>
  <c r="O18" i="1"/>
  <c r="G18" i="1"/>
  <c r="AT17" i="1"/>
  <c r="AS17" i="1"/>
  <c r="O17" i="1"/>
  <c r="G17" i="1"/>
  <c r="AT16" i="1"/>
  <c r="AS16" i="1"/>
  <c r="O16" i="1"/>
  <c r="G16" i="1"/>
  <c r="AT15" i="1"/>
  <c r="AS15" i="1"/>
  <c r="O15" i="1"/>
  <c r="G15" i="1"/>
  <c r="AT14" i="1"/>
  <c r="AS14" i="1"/>
  <c r="O14" i="1"/>
  <c r="G14" i="1"/>
  <c r="AT13" i="1"/>
  <c r="AS13" i="1"/>
  <c r="O13" i="1"/>
  <c r="G13" i="1"/>
  <c r="AT12" i="1"/>
  <c r="AS12" i="1"/>
  <c r="O12" i="1"/>
  <c r="G12" i="1"/>
  <c r="AT11" i="1"/>
  <c r="AS11" i="1"/>
  <c r="O11" i="1"/>
  <c r="G11" i="1"/>
  <c r="AT10" i="1"/>
  <c r="AS10" i="1"/>
  <c r="O10" i="1"/>
  <c r="G10" i="1"/>
  <c r="AT9" i="1"/>
  <c r="AS9" i="1"/>
  <c r="O9" i="1"/>
  <c r="G9" i="1"/>
  <c r="AT8" i="1"/>
  <c r="AS8" i="1"/>
  <c r="O8" i="1"/>
  <c r="G8" i="1"/>
  <c r="AT7" i="1"/>
  <c r="AS7" i="1"/>
  <c r="O7" i="1"/>
  <c r="G7" i="1"/>
  <c r="AT6" i="1"/>
  <c r="AS6" i="1"/>
  <c r="O6" i="1"/>
  <c r="G6" i="1"/>
  <c r="AT5" i="1"/>
  <c r="AS5" i="1"/>
  <c r="O5" i="1"/>
  <c r="G5" i="1"/>
  <c r="AT4" i="1"/>
  <c r="AS4" i="1"/>
  <c r="O4" i="1"/>
  <c r="G4" i="1"/>
  <c r="O3" i="1"/>
  <c r="L3" i="1"/>
  <c r="K3" i="1"/>
  <c r="J3" i="1"/>
</calcChain>
</file>

<file path=xl/sharedStrings.xml><?xml version="1.0" encoding="utf-8"?>
<sst xmlns="http://schemas.openxmlformats.org/spreadsheetml/2006/main" count="7609" uniqueCount="1782">
  <si>
    <t>S.No</t>
  </si>
  <si>
    <t>Code</t>
  </si>
  <si>
    <t>Branch / Office</t>
  </si>
  <si>
    <t>Names</t>
  </si>
  <si>
    <t>BS</t>
  </si>
  <si>
    <t>Name of Post</t>
  </si>
  <si>
    <t>S</t>
  </si>
  <si>
    <t>Officers/ Officials</t>
  </si>
  <si>
    <t>HQ / Field</t>
  </si>
  <si>
    <t>Day</t>
  </si>
  <si>
    <t>Percentage</t>
  </si>
  <si>
    <t>Remarks</t>
  </si>
  <si>
    <t>Domicile</t>
  </si>
  <si>
    <t>ACR 2025</t>
  </si>
  <si>
    <t>ACR 20252</t>
  </si>
  <si>
    <t>Comments</t>
  </si>
  <si>
    <t>Remarks3</t>
  </si>
  <si>
    <t>Date of Appointment</t>
  </si>
  <si>
    <t>Current Place of Posting date</t>
  </si>
  <si>
    <t>Personal No</t>
  </si>
  <si>
    <t>CNIC</t>
  </si>
  <si>
    <t>Date  of Birth</t>
  </si>
  <si>
    <t>Religion</t>
  </si>
  <si>
    <t>Marital Statut</t>
  </si>
  <si>
    <t>Home District</t>
  </si>
  <si>
    <t>Entry Govt</t>
  </si>
  <si>
    <t>Joining Date</t>
  </si>
  <si>
    <t>Job Status</t>
  </si>
  <si>
    <t>Disability</t>
  </si>
  <si>
    <t>Blood Group</t>
  </si>
  <si>
    <t>Mobile No</t>
  </si>
  <si>
    <t>Temporary Address</t>
  </si>
  <si>
    <t>Permanent Address</t>
  </si>
  <si>
    <t>Passport NOC</t>
  </si>
  <si>
    <t>Probation</t>
  </si>
  <si>
    <t>BPS wise Promotion</t>
  </si>
  <si>
    <t>Last Promotion</t>
  </si>
  <si>
    <t>Remark 1</t>
  </si>
  <si>
    <t>Qualificaiton</t>
  </si>
  <si>
    <t>Matric</t>
  </si>
  <si>
    <t>Inter</t>
  </si>
  <si>
    <t>Bachelor</t>
  </si>
  <si>
    <t>Master</t>
  </si>
  <si>
    <t>Other</t>
  </si>
  <si>
    <t>All Degree Status</t>
  </si>
  <si>
    <t>Last Degree Status</t>
  </si>
  <si>
    <t>Remarks2</t>
  </si>
  <si>
    <t>HRMS Status</t>
  </si>
  <si>
    <t>D &amp; A 2024-25</t>
  </si>
  <si>
    <t>Updated in HRMS</t>
  </si>
  <si>
    <t>PEC-001</t>
  </si>
  <si>
    <t>PEC Office</t>
  </si>
  <si>
    <t xml:space="preserve"> Mr. Aijaz Anwer Chohan</t>
  </si>
  <si>
    <t>Provincial Election Commissioner, Sindh</t>
  </si>
  <si>
    <t>Officer</t>
  </si>
  <si>
    <t>HQ</t>
  </si>
  <si>
    <t>01-01-2025 to 31-12-2025</t>
  </si>
  <si>
    <t>Sent to ISB</t>
  </si>
  <si>
    <t>Yes</t>
  </si>
  <si>
    <t>Received</t>
  </si>
  <si>
    <t>SPA-008</t>
  </si>
  <si>
    <t>Abdul Waqar</t>
  </si>
  <si>
    <t xml:space="preserve">Senior Personal Assistant </t>
  </si>
  <si>
    <t>Participated actively in group discussion as well as in group activities</t>
  </si>
  <si>
    <t>Updated</t>
  </si>
  <si>
    <t>SA-001</t>
  </si>
  <si>
    <t>Vacant</t>
  </si>
  <si>
    <t>Senior Assistant</t>
  </si>
  <si>
    <t>Official</t>
  </si>
  <si>
    <t>NQ-001</t>
  </si>
  <si>
    <t>Lal Muhammad</t>
  </si>
  <si>
    <t>Naib Quasid</t>
  </si>
  <si>
    <t>Listened attentively to all lectures. Actively participated in group discussions and activities</t>
  </si>
  <si>
    <t>NA</t>
  </si>
  <si>
    <t>NQ-002</t>
  </si>
  <si>
    <t>Sajjad Khan</t>
  </si>
  <si>
    <t>Listened attentively to all lectures. Actively participated in all group discussions and activities.</t>
  </si>
  <si>
    <t>JPEC-001</t>
  </si>
  <si>
    <t>JPEC (Admn) Office</t>
  </si>
  <si>
    <t>Tahir Mansoor</t>
  </si>
  <si>
    <t>JPEC (Admn)</t>
  </si>
  <si>
    <t>27-03-2025 to 31-12-2025</t>
  </si>
  <si>
    <t>Remaing</t>
  </si>
  <si>
    <t>SPA-001</t>
  </si>
  <si>
    <t>Muhammad Rizwan</t>
  </si>
  <si>
    <t>After training, concepts cleared to him. participate in group discussions and activities was average.</t>
  </si>
  <si>
    <t>NQ-003</t>
  </si>
  <si>
    <t>Muhammad Kashif</t>
  </si>
  <si>
    <t>Participation was average. Concepts were not clear to him. Hesitant in group discussions and activities.</t>
  </si>
  <si>
    <t>JPEC-002</t>
  </si>
  <si>
    <t xml:space="preserve">JPEC (Election) Office </t>
  </si>
  <si>
    <t>JPEC (Election)</t>
  </si>
  <si>
    <t>SPA-003</t>
  </si>
  <si>
    <t>Qalandar Bux</t>
  </si>
  <si>
    <t>Conceptswell has already cleared to him activly participated in group discessions as well as group activities.</t>
  </si>
  <si>
    <t>01-01-2025 to 31-12-2025
1 Year</t>
  </si>
  <si>
    <t>Very Good
Fit for Promotion</t>
  </si>
  <si>
    <t>Received by Branch</t>
  </si>
  <si>
    <t>NQ-005</t>
  </si>
  <si>
    <t>Muhammad Yawar</t>
  </si>
  <si>
    <t>After training, concepts of gender &amp; sex cleared to him. Participating in group activities was satisfactory.</t>
  </si>
  <si>
    <t>DIR-001</t>
  </si>
  <si>
    <t>Director (Admn) Office</t>
  </si>
  <si>
    <t>Imtiaz Ali Kalhoro</t>
  </si>
  <si>
    <t>Director (Admn)</t>
  </si>
  <si>
    <t xml:space="preserve">01-01-2025 to 31-12-2025 </t>
  </si>
  <si>
    <t>M.Phil</t>
  </si>
  <si>
    <t>DEO-102</t>
  </si>
  <si>
    <t xml:space="preserve">Data Entry Operator </t>
  </si>
  <si>
    <t>NQ-089</t>
  </si>
  <si>
    <t>Saad</t>
  </si>
  <si>
    <t>Satisfactory</t>
  </si>
  <si>
    <t>DD-005</t>
  </si>
  <si>
    <t>Admn Branch</t>
  </si>
  <si>
    <t>Agha Shafique Ahmed</t>
  </si>
  <si>
    <t>Deputy Director (Record)</t>
  </si>
  <si>
    <t>24-03-2025 to 31-12-2025</t>
  </si>
  <si>
    <t>AD-001</t>
  </si>
  <si>
    <t>Muhammad Mushtaq</t>
  </si>
  <si>
    <t>Assistant Director (Admn)</t>
  </si>
  <si>
    <t>01-01-2025 to 30-06-2025
01-07-2025 to 31-12-2025</t>
  </si>
  <si>
    <t>Under Process</t>
  </si>
  <si>
    <t>LLB</t>
  </si>
  <si>
    <t>SA-056</t>
  </si>
  <si>
    <t>JPA-001</t>
  </si>
  <si>
    <t>Saifullah Channar</t>
  </si>
  <si>
    <t>Junior Personal Assistant</t>
  </si>
  <si>
    <t>Attentively listened to all lectures. Actively participated in all group discussions as well as in all activities.</t>
  </si>
  <si>
    <t>DEO-001</t>
  </si>
  <si>
    <t>JA-001</t>
  </si>
  <si>
    <t>Shahid Ashfaq</t>
  </si>
  <si>
    <t>Junior Assistant</t>
  </si>
  <si>
    <t>Very actively participate in all group discussions and activities. performance was very good.</t>
  </si>
  <si>
    <t>JA-002</t>
  </si>
  <si>
    <t>Javed Ali</t>
  </si>
  <si>
    <t>Overall, participation was satisfactory.</t>
  </si>
  <si>
    <t>SUB-001</t>
  </si>
  <si>
    <t>Soha</t>
  </si>
  <si>
    <t>Sub Assistant</t>
  </si>
  <si>
    <t>Concepts were clear to her, actively participated in all activities.</t>
  </si>
  <si>
    <t>SUB-002</t>
  </si>
  <si>
    <t>Gul bano</t>
  </si>
  <si>
    <t xml:space="preserve">Concepts were clear to her. very actively participate in all group activities. </t>
  </si>
  <si>
    <t>DR-001</t>
  </si>
  <si>
    <t>Nabeel Ahmed</t>
  </si>
  <si>
    <t>Dispatch Rider</t>
  </si>
  <si>
    <t>Listened attentively to all lectures. very actively particiapted in all group activities. Discussed issues with trainers. He also shared difficult situations he faced in the past at the workplace.</t>
  </si>
  <si>
    <t>DR-002</t>
  </si>
  <si>
    <t>Muhammad Armaghan Khan</t>
  </si>
  <si>
    <t>DF-001</t>
  </si>
  <si>
    <t xml:space="preserve">Abdul Rasheed </t>
  </si>
  <si>
    <t>Daftry</t>
  </si>
  <si>
    <t>After training, issues were cleared to him. Attentively heard all lectures, and participate was average.</t>
  </si>
  <si>
    <t>DF-002</t>
  </si>
  <si>
    <t>Ali Asghar</t>
  </si>
  <si>
    <t>Attentively participates in all group activities. Actively participate in all activities.</t>
  </si>
  <si>
    <t>NQ-023</t>
  </si>
  <si>
    <t>Abdul Karim</t>
  </si>
  <si>
    <t>Listened attentively to all lectures. Took good interest in all sessions/activities.</t>
  </si>
  <si>
    <t>CH-001</t>
  </si>
  <si>
    <t>Muhammad Nadeem</t>
  </si>
  <si>
    <t>Chowkidar</t>
  </si>
  <si>
    <t>Concepts were not clear to him. However, after listening to the lectures of trainers, he was able to understand the issues.</t>
  </si>
  <si>
    <t>Karachi West</t>
  </si>
  <si>
    <t>CH-002</t>
  </si>
  <si>
    <t>Muhammad Hassan</t>
  </si>
  <si>
    <t>Listened attentively to all lectures. Participating in activities was average.</t>
  </si>
  <si>
    <t>Karachi East</t>
  </si>
  <si>
    <t>FAR-001</t>
  </si>
  <si>
    <t>Farash</t>
  </si>
  <si>
    <t>NQ-079</t>
  </si>
  <si>
    <t>Naseem Samoo</t>
  </si>
  <si>
    <t>CH-006</t>
  </si>
  <si>
    <t>Muhammad Kamran</t>
  </si>
  <si>
    <t>Participated in all activities with interest. Attentively listened to lectures &amp; discussions on Harassment issues.</t>
  </si>
  <si>
    <t>Karachi</t>
  </si>
  <si>
    <t>CH-005</t>
  </si>
  <si>
    <t>Sadiq Iqbal (Attached with GS Branch)</t>
  </si>
  <si>
    <t>concepts were not clear to him. However, after listening to the lectures of trainers, he was able to understand the issues.</t>
  </si>
  <si>
    <t>CH-004</t>
  </si>
  <si>
    <t>Shahid Jabbar</t>
  </si>
  <si>
    <t>The concepts were not clear. However, after training. Participate in group discussion &amp; activities was not up to mark.</t>
  </si>
  <si>
    <t>Karachi South</t>
  </si>
  <si>
    <t>CH-008</t>
  </si>
  <si>
    <t>Abdul Rahim</t>
  </si>
  <si>
    <t>CH-003</t>
  </si>
  <si>
    <t>Waqas Ahmad Baig</t>
  </si>
  <si>
    <t>concepts were clear to him. actively participated in all group activities and discussions.</t>
  </si>
  <si>
    <t>Karachi Central</t>
  </si>
  <si>
    <t>No</t>
  </si>
  <si>
    <t>CH-060</t>
  </si>
  <si>
    <r>
      <t>Gul Nawaz Magsi</t>
    </r>
    <r>
      <rPr>
        <sz val="9"/>
        <rFont val="Cambria"/>
        <family val="1"/>
      </rPr>
      <t xml:space="preserve"> </t>
    </r>
  </si>
  <si>
    <t>E Grade</t>
  </si>
  <si>
    <t>Mirpurkhas</t>
  </si>
  <si>
    <t>MA-001</t>
  </si>
  <si>
    <t>Muhammad Haris</t>
  </si>
  <si>
    <t>Mali</t>
  </si>
  <si>
    <t>attentively heard all lectures. After the lectures, the concept became clear to him. participate was average.</t>
  </si>
  <si>
    <t>MA-002</t>
  </si>
  <si>
    <t>Kashif Khan</t>
  </si>
  <si>
    <t>Listened very carefully to all lectures. Actively participated in all group discussions and activities.</t>
  </si>
  <si>
    <t>NQ-007</t>
  </si>
  <si>
    <t>Faheem Ali Khan</t>
  </si>
  <si>
    <t>Overall, participation was good</t>
  </si>
  <si>
    <t>SW-001</t>
  </si>
  <si>
    <t>Jonathan</t>
  </si>
  <si>
    <t xml:space="preserve">Sweeper </t>
  </si>
  <si>
    <t>After training, the concepts were clear to him. attentively heard lectures. Participating in group activities was satisfactory.</t>
  </si>
  <si>
    <t>Christian</t>
  </si>
  <si>
    <t>SW-002</t>
  </si>
  <si>
    <t>Sunny</t>
  </si>
  <si>
    <t>Actively participated in all activities&amp; overall participation was excellent.</t>
  </si>
  <si>
    <t>Hindu</t>
  </si>
  <si>
    <t>SW-003</t>
  </si>
  <si>
    <t>Naresh</t>
  </si>
  <si>
    <t>Attended training with interest. Concepts were not clear to him. However, after listening to lectures, he was able to understand the issue.</t>
  </si>
  <si>
    <t>SW-004</t>
  </si>
  <si>
    <t>Petar</t>
  </si>
  <si>
    <t>Listened attentively to all lectures. Actively participate in group activities.</t>
  </si>
  <si>
    <t>JA-013</t>
  </si>
  <si>
    <t>R &amp; I Branch</t>
  </si>
  <si>
    <t>Muhammad Asif</t>
  </si>
  <si>
    <t>Concepts were not clear to him. However, after lectures &amp; leasing, he was able to understand the issues.</t>
  </si>
  <si>
    <t>SUB-010</t>
  </si>
  <si>
    <t>Furqan Ahmed Qureshi</t>
  </si>
  <si>
    <t>SUB-005</t>
  </si>
  <si>
    <t>Concepts were clear to him. Actively participated in group discussions &amp; activities.</t>
  </si>
  <si>
    <t>SUB-070</t>
  </si>
  <si>
    <t>MCO Branch</t>
  </si>
  <si>
    <t xml:space="preserve">Munawar Durrani </t>
  </si>
  <si>
    <t xml:space="preserve">Paid proper attention to all sessions and actively participating in all activities </t>
  </si>
  <si>
    <t>AD-009</t>
  </si>
  <si>
    <t>Record Branch</t>
  </si>
  <si>
    <t>Assistant Director (Record)</t>
  </si>
  <si>
    <t>DEO-094</t>
  </si>
  <si>
    <t>Tanveer Hussain</t>
  </si>
  <si>
    <t>Participated well Satisfactory</t>
  </si>
  <si>
    <t>01-01-2025 to 15-10-2025
10-5 Month</t>
  </si>
  <si>
    <t>Good
Fit for promotion</t>
  </si>
  <si>
    <t>JA-009</t>
  </si>
  <si>
    <t>Syed Arsalan Ali</t>
  </si>
  <si>
    <t>Participated actively in all sessions/activities and took an active part in group discussions</t>
  </si>
  <si>
    <t>NQ-021</t>
  </si>
  <si>
    <t xml:space="preserve">Muhammad Imran </t>
  </si>
  <si>
    <t>Overall, participation was good.</t>
  </si>
  <si>
    <t>JA-005</t>
  </si>
  <si>
    <t>Cash Branch</t>
  </si>
  <si>
    <t>Shahzad Ahmed Qureshi</t>
  </si>
  <si>
    <t>Very actively participated in all activities. Discussed issues of Harassment with the group as well as with trainers. Also narrated his issue of harassment.</t>
  </si>
  <si>
    <t>SUB-007</t>
  </si>
  <si>
    <t>Muhammad Zeeshan</t>
  </si>
  <si>
    <t>Took interest in all activities/sessions. Actively participated in discussions.</t>
  </si>
  <si>
    <t>NQ-008</t>
  </si>
  <si>
    <t>Matloob Hussain</t>
  </si>
  <si>
    <t>Listened carefully to all lectures. Actively participated in all group activities.</t>
  </si>
  <si>
    <t>JA-012</t>
  </si>
  <si>
    <t>Transport Branch</t>
  </si>
  <si>
    <t>Hamza Farooq</t>
  </si>
  <si>
    <t>Hyderabad</t>
  </si>
  <si>
    <t>SUB-011</t>
  </si>
  <si>
    <t>Ahsan Nabi</t>
  </si>
  <si>
    <t>Actively participated in all sessions/activities. He took a very good interest in training. Discussed issues of workplace Harassment with his group members/participants as well as with trainers.</t>
  </si>
  <si>
    <t>SCD-001</t>
  </si>
  <si>
    <t>Muhammad Afzal</t>
  </si>
  <si>
    <t>Staff Car Driver</t>
  </si>
  <si>
    <t>Actively participated in all activities.</t>
  </si>
  <si>
    <t>12 mac 2015</t>
  </si>
  <si>
    <t>SCD-019</t>
  </si>
  <si>
    <t>Abdul Sattar Supro</t>
  </si>
  <si>
    <t>Took good interest in training. very attentively listened to lectures. participated in all activities.</t>
  </si>
  <si>
    <t>SCD-003</t>
  </si>
  <si>
    <t>Zahid Hussain</t>
  </si>
  <si>
    <t>inter</t>
  </si>
  <si>
    <t>SCD-004</t>
  </si>
  <si>
    <t>Bilawal</t>
  </si>
  <si>
    <t>SCD-005</t>
  </si>
  <si>
    <t>Amjad Ali</t>
  </si>
  <si>
    <t>DD-002</t>
  </si>
  <si>
    <t>Establishment Branch</t>
  </si>
  <si>
    <t>Deputy Director (Estt)</t>
  </si>
  <si>
    <t>AD-003</t>
  </si>
  <si>
    <t>Assistant Director (Estt)</t>
  </si>
  <si>
    <t>SA-003</t>
  </si>
  <si>
    <t>Hafiz Mujeeb ur Rehman</t>
  </si>
  <si>
    <t>Attentively listened to all sessions and participated actively in all activities.</t>
  </si>
  <si>
    <t>19.05.2022</t>
  </si>
  <si>
    <t>JPA-002</t>
  </si>
  <si>
    <t>Shafi Muhammad</t>
  </si>
  <si>
    <t>Very actively participated in all group activities. Took keep interest in Harassment act 2010. Discussed key issues with trainers.</t>
  </si>
  <si>
    <t>DEO-004</t>
  </si>
  <si>
    <t>Osama Ghaffar</t>
  </si>
  <si>
    <t>Actively participate in all group activities</t>
  </si>
  <si>
    <t>DEO-003</t>
  </si>
  <si>
    <t>Aarifa</t>
  </si>
  <si>
    <t>Participated in all activities with interest. Also discussed issues of Harassment with trainers. Concepts are well clean to her.</t>
  </si>
  <si>
    <t>JA-006</t>
  </si>
  <si>
    <t>Hidayatullah</t>
  </si>
  <si>
    <t>Concepts were clear to him. Actively participated in all group discussions &amp; activities</t>
  </si>
  <si>
    <t>JA-056</t>
  </si>
  <si>
    <t>Tasbeeha Siddiqui</t>
  </si>
  <si>
    <t>SUB-017</t>
  </si>
  <si>
    <t>Arsalan Ali</t>
  </si>
  <si>
    <t>Naushero Feroze</t>
  </si>
  <si>
    <t>NQ-019</t>
  </si>
  <si>
    <t>Syed Bilal Ali</t>
  </si>
  <si>
    <t>Participation was average. However, he tried to understand issues; performance in group activities was also average.</t>
  </si>
  <si>
    <t>NQ-012</t>
  </si>
  <si>
    <t>DD-004</t>
  </si>
  <si>
    <t>Training Branch</t>
  </si>
  <si>
    <r>
      <t xml:space="preserve">Deputy Director </t>
    </r>
    <r>
      <rPr>
        <b/>
        <sz val="10"/>
        <rFont val="Arial"/>
        <family val="2"/>
      </rPr>
      <t>(Newly Created)</t>
    </r>
  </si>
  <si>
    <t>DEO-109</t>
  </si>
  <si>
    <r>
      <t xml:space="preserve">Data Entry Operator </t>
    </r>
    <r>
      <rPr>
        <b/>
        <sz val="10"/>
        <rFont val="Arial"/>
        <family val="2"/>
      </rPr>
      <t>(Shifted from Budget Branch)</t>
    </r>
  </si>
  <si>
    <t>JA-008</t>
  </si>
  <si>
    <t>Syed Shahid Hussain Shah</t>
  </si>
  <si>
    <t>NQ-100</t>
  </si>
  <si>
    <t>Muhammad Iqbal</t>
  </si>
  <si>
    <t>Naib Quasid Shifted from Budget Branch)</t>
  </si>
  <si>
    <t>DD-006</t>
  </si>
  <si>
    <t>Accounts Branch</t>
  </si>
  <si>
    <t>Jamshed Alam Malik</t>
  </si>
  <si>
    <t>Deputy Director (Accounts)</t>
  </si>
  <si>
    <t>AD-005</t>
  </si>
  <si>
    <t>Assistant Director (Accounts)</t>
  </si>
  <si>
    <t>AD-004</t>
  </si>
  <si>
    <t>Assistant Director (Budget)</t>
  </si>
  <si>
    <t>SA-004</t>
  </si>
  <si>
    <t>Saqib Ali (Detail to work with cash / Admn Branch)</t>
  </si>
  <si>
    <t>Very attentively heard lectures of train</t>
  </si>
  <si>
    <t>DEO-005</t>
  </si>
  <si>
    <t>Abdul Maroof</t>
  </si>
  <si>
    <t xml:space="preserve">Actively listened to all lectures. actively participated in all activities </t>
  </si>
  <si>
    <t>Yes
Not Verified HEC</t>
  </si>
  <si>
    <t>SA-006</t>
  </si>
  <si>
    <t>Maria</t>
  </si>
  <si>
    <t>JA-010</t>
  </si>
  <si>
    <t>Muhammad Arsalan</t>
  </si>
  <si>
    <t>Attentively heard all lectures. Actively participate in all activities</t>
  </si>
  <si>
    <t>Islam</t>
  </si>
  <si>
    <t>Married</t>
  </si>
  <si>
    <t>Direct</t>
  </si>
  <si>
    <t>B+</t>
  </si>
  <si>
    <t>Termiante</t>
  </si>
  <si>
    <t>SUB-003</t>
  </si>
  <si>
    <t xml:space="preserve">Kanwal Sardar </t>
  </si>
  <si>
    <t>Actively participated in activities. Took good interest in training.</t>
  </si>
  <si>
    <t>NQ-017</t>
  </si>
  <si>
    <t>Adeel Atique</t>
  </si>
  <si>
    <t>attenting listened to all lectures. Actively participated in all activities.</t>
  </si>
  <si>
    <t>AD-002</t>
  </si>
  <si>
    <t>Protocol Branch</t>
  </si>
  <si>
    <t>Faraz Ahmed</t>
  </si>
  <si>
    <t>Assistant Director (Protocol)</t>
  </si>
  <si>
    <t>DEO-002</t>
  </si>
  <si>
    <t>Raj Kumar</t>
  </si>
  <si>
    <t>Carefully listened to all lectures and participated actively in all group activities.</t>
  </si>
  <si>
    <t>NQ-073</t>
  </si>
  <si>
    <t>Feroze Ahmed</t>
  </si>
  <si>
    <t>Concepts were clear to him. Participating in group activities was average.</t>
  </si>
  <si>
    <t>DEO-104</t>
  </si>
  <si>
    <t>Development Branch</t>
  </si>
  <si>
    <t>Data Entry Operator (Newly Created)</t>
  </si>
  <si>
    <t>SE-001</t>
  </si>
  <si>
    <r>
      <t xml:space="preserve">Sub Engineer </t>
    </r>
    <r>
      <rPr>
        <b/>
        <sz val="10"/>
        <rFont val="Arial"/>
        <family val="2"/>
      </rPr>
      <t>(Newly Created)</t>
    </r>
  </si>
  <si>
    <t>SUB-015</t>
  </si>
  <si>
    <t>Adeel Aziz (Assigned duty of store)</t>
  </si>
  <si>
    <t>Actively Participated in all Activities</t>
  </si>
  <si>
    <t>NQ-022</t>
  </si>
  <si>
    <r>
      <t xml:space="preserve">Muhammad Ammad
</t>
    </r>
    <r>
      <rPr>
        <b/>
        <sz val="10"/>
        <rFont val="Arial"/>
        <family val="2"/>
      </rPr>
      <t>(Attached with PEC office)</t>
    </r>
  </si>
  <si>
    <t>REC-002</t>
  </si>
  <si>
    <t>Director (Elections) Office</t>
  </si>
  <si>
    <t>Muhammad Yousuf</t>
  </si>
  <si>
    <t>Director Election</t>
  </si>
  <si>
    <t>01-01-2025 to 27-03-2025
Docket
27-03-2025 to 31-12-2025</t>
  </si>
  <si>
    <t xml:space="preserve">Docket Sent to ISB
ACR Remaining </t>
  </si>
  <si>
    <t>DEO-068</t>
  </si>
  <si>
    <t>Naveed</t>
  </si>
  <si>
    <t>C Grade</t>
  </si>
  <si>
    <t>NQ-010</t>
  </si>
  <si>
    <t>Overall participation was satisfactory.</t>
  </si>
  <si>
    <t>DD-007</t>
  </si>
  <si>
    <t>Elections &amp; Political Finance Branch</t>
  </si>
  <si>
    <t>Niaz Ahmad</t>
  </si>
  <si>
    <t>Deputy Director (E&amp;PF)</t>
  </si>
  <si>
    <t>AD-008</t>
  </si>
  <si>
    <t xml:space="preserve">Iftikhar Hussain </t>
  </si>
  <si>
    <t>Assistant Director (E&amp;PF)</t>
  </si>
  <si>
    <t>DRA-001</t>
  </si>
  <si>
    <t>Syed Mazhar Hussain</t>
  </si>
  <si>
    <t>Draughtsman</t>
  </si>
  <si>
    <t>Concepts were already clear to him. actively participated in group discussions and activities.</t>
  </si>
  <si>
    <t>Diploma of associate Engineer</t>
  </si>
  <si>
    <t>SA-007</t>
  </si>
  <si>
    <t>Amar Zafar Khushik</t>
  </si>
  <si>
    <t>Listened attentively to all lectures. actively participate in all activities. performance was excellent.</t>
  </si>
  <si>
    <t>DEO-106</t>
  </si>
  <si>
    <t>Data Entry Operator</t>
  </si>
  <si>
    <t>DEO-006</t>
  </si>
  <si>
    <t>Listened to all lectures with attention. Participating in group activities was also satisfactory.</t>
  </si>
  <si>
    <t>DIT Verified</t>
  </si>
  <si>
    <t>JA-014</t>
  </si>
  <si>
    <t>Aadil Hussain</t>
  </si>
  <si>
    <t>SUB-028</t>
  </si>
  <si>
    <t>Sajjad Ali Umrani</t>
  </si>
  <si>
    <t xml:space="preserve">Concepts were clear to him. very actively participate in all activities. </t>
  </si>
  <si>
    <t>DIT Diploma</t>
  </si>
  <si>
    <t>NQ-018</t>
  </si>
  <si>
    <t>Shahrukh Khan</t>
  </si>
  <si>
    <t xml:space="preserve">Participation was average. was hesitant in group discussions </t>
  </si>
  <si>
    <t>DD-011</t>
  </si>
  <si>
    <t>LGE Branch</t>
  </si>
  <si>
    <t>Ikhlaq Ahmed</t>
  </si>
  <si>
    <t>Deputy Director (LGE)</t>
  </si>
  <si>
    <t>under process</t>
  </si>
  <si>
    <t>EO-033</t>
  </si>
  <si>
    <t>Ayesha Saqib</t>
  </si>
  <si>
    <t>Assistant Director (LGE)</t>
  </si>
  <si>
    <t>SA-011</t>
  </si>
  <si>
    <t>Akhtar-Ul-Islam</t>
  </si>
  <si>
    <t>Actively participated in all sessions. Discussed issues of harassment at the workplace with participants as well as with trainers.</t>
  </si>
  <si>
    <t>DEO-007</t>
  </si>
  <si>
    <t>Muhammad Faraz</t>
  </si>
  <si>
    <t>Participated in all activities with interest. Played an active role in role play.</t>
  </si>
  <si>
    <t>Updated on 18 Feb, 2026</t>
  </si>
  <si>
    <t>DEO-105</t>
  </si>
  <si>
    <t>Ms. Shifa</t>
  </si>
  <si>
    <t>JA-046</t>
  </si>
  <si>
    <t>Shakeel Ahmed Memon</t>
  </si>
  <si>
    <t>B Grade</t>
  </si>
  <si>
    <t>Average
Not yet fit for promotion</t>
  </si>
  <si>
    <t>SUB-016</t>
  </si>
  <si>
    <t>NQ-006</t>
  </si>
  <si>
    <t>Muhammad Arif</t>
  </si>
  <si>
    <t>Concepts of gender &amp; sex were not clear to him. However, after training, he became able to respond and participate in group activities, which was average.</t>
  </si>
  <si>
    <t>SA-010</t>
  </si>
  <si>
    <t>DEC Sujawal _ REC Thatta</t>
  </si>
  <si>
    <t>Adnan Bashir</t>
  </si>
  <si>
    <t>Field</t>
  </si>
  <si>
    <t>Concepts were clear to him. Actively participated in all group activities and discussions.</t>
  </si>
  <si>
    <t>DEC-020</t>
  </si>
  <si>
    <t>Ali Imran</t>
  </si>
  <si>
    <t>DEC</t>
  </si>
  <si>
    <t>SA-032</t>
  </si>
  <si>
    <t>Electoral Rolls Branch</t>
  </si>
  <si>
    <t>DEO-065</t>
  </si>
  <si>
    <t>DD-001</t>
  </si>
  <si>
    <t>GS Branch</t>
  </si>
  <si>
    <t>Muhammad Samiullah</t>
  </si>
  <si>
    <t>Deputy Director (GS)</t>
  </si>
  <si>
    <t>SA-005</t>
  </si>
  <si>
    <t>M. Mubeen Mushtaque</t>
  </si>
  <si>
    <t>SA-049</t>
  </si>
  <si>
    <t>Participation was good. Took good interest in leasing &amp; discussions.</t>
  </si>
  <si>
    <t>DEP-107</t>
  </si>
  <si>
    <t>JA-011</t>
  </si>
  <si>
    <t>M. Shaheer Shaikh</t>
  </si>
  <si>
    <t>Actively participated in all group activities.</t>
  </si>
  <si>
    <t>SUB-077</t>
  </si>
  <si>
    <t>NQ-102</t>
  </si>
  <si>
    <t>Muhammad Suleman</t>
  </si>
  <si>
    <t>Has potantial for performing even better</t>
  </si>
  <si>
    <t>NQ-009</t>
  </si>
  <si>
    <t>Waqasuddin S/o Qamar Uddin</t>
  </si>
  <si>
    <t>DD-008</t>
  </si>
  <si>
    <t>G&amp;SI Branch</t>
  </si>
  <si>
    <t>Abdullah Shah</t>
  </si>
  <si>
    <t>Deputy Director (G&amp;SI)</t>
  </si>
  <si>
    <t>Under Process
Sumbited in Isb</t>
  </si>
  <si>
    <t>SA-008</t>
  </si>
  <si>
    <t>Listened attentively to all lectures. concepts was already clear to him. Actively participated in all group discussions and activities.</t>
  </si>
  <si>
    <t>JPA-004</t>
  </si>
  <si>
    <t>Mubarak Ali</t>
  </si>
  <si>
    <t>Very actively participated in all sessions/activities. Took good interest in issues of Harassment in the workplace. Discussed some issues of Harassment with trainers.</t>
  </si>
  <si>
    <t>JA-021</t>
  </si>
  <si>
    <t>SUB-013</t>
  </si>
  <si>
    <t>Areeba Khan</t>
  </si>
  <si>
    <t>Concepts were clear to him. Very active participation in group discussions and activities.</t>
  </si>
  <si>
    <t>NQ-013</t>
  </si>
  <si>
    <t>Iqra Naseer (Attached with DD Accounts)</t>
  </si>
  <si>
    <t>Concepts were clear to her. very actively participate in group activities and discussions. very attentively listened to all lectures</t>
  </si>
  <si>
    <t>AD-010</t>
  </si>
  <si>
    <t>Assistant Director (MCO)</t>
  </si>
  <si>
    <t>13-02-2025 to 31-12-2025</t>
  </si>
  <si>
    <t>JPA-006</t>
  </si>
  <si>
    <t>Aamir Ali</t>
  </si>
  <si>
    <t>Junior Personal Assistant (Urdu Typist)</t>
  </si>
  <si>
    <t>Concepts were clear to him. Actively participated in all group discussions and activities.</t>
  </si>
  <si>
    <t>Under process</t>
  </si>
  <si>
    <t>SA-013</t>
  </si>
  <si>
    <t xml:space="preserve">Senior Assistnat </t>
  </si>
  <si>
    <t>DEO-008</t>
  </si>
  <si>
    <t>JA-016</t>
  </si>
  <si>
    <t xml:space="preserve">Mir Hassan </t>
  </si>
  <si>
    <t>Participated actively &amp; with interest in all group activities. escaped his thoughts with trainers</t>
  </si>
  <si>
    <t>Diploma in Commerce</t>
  </si>
  <si>
    <t>PH-001</t>
  </si>
  <si>
    <t>Siraj-ul-Haq</t>
  </si>
  <si>
    <t>Photographer/Videographer</t>
  </si>
  <si>
    <t>SUB-009</t>
  </si>
  <si>
    <t>Abdul Rehman</t>
  </si>
  <si>
    <t>NQ-004</t>
  </si>
  <si>
    <t xml:space="preserve">Attentively listened to all lectures. actively participated in all activities </t>
  </si>
  <si>
    <t>DIR-003</t>
  </si>
  <si>
    <t>Law Branch</t>
  </si>
  <si>
    <t>Muhammad Haroon Kasi</t>
  </si>
  <si>
    <t>Director (Law)</t>
  </si>
  <si>
    <t>remaing</t>
  </si>
  <si>
    <t>DD-009</t>
  </si>
  <si>
    <t>Abdullah Hanjrah</t>
  </si>
  <si>
    <t>Deputy Director (Law)</t>
  </si>
  <si>
    <t>AD-007</t>
  </si>
  <si>
    <t>Muhamad Bilal Malik</t>
  </si>
  <si>
    <t>Assistant Director (Law)</t>
  </si>
  <si>
    <t>SA-009</t>
  </si>
  <si>
    <t>Ihsan Ahmed</t>
  </si>
  <si>
    <t>Concepts were already clear to him. Very actively participate in all group discussions and activities.</t>
  </si>
  <si>
    <t>Very Good
Recommended for accelerated promotion</t>
  </si>
  <si>
    <t>JPA-005</t>
  </si>
  <si>
    <t>Mujeeb-ur-Rehman</t>
  </si>
  <si>
    <t>Listened attentively to all lectures. very actively participated in all activities.</t>
  </si>
  <si>
    <t>JA-007</t>
  </si>
  <si>
    <t>Saddam Hussain</t>
  </si>
  <si>
    <t>Concepts were already clear to him. very actively participated in group discussions &amp; activities excellent performance.</t>
  </si>
  <si>
    <t>01-01-2025 to 31-07-2025
01-08-2025 to 31-12-2025
1 year</t>
  </si>
  <si>
    <t>Very Good
Fit for Promotion
Very Good
Recommended for accelerated promotion</t>
  </si>
  <si>
    <t>SUB-014</t>
  </si>
  <si>
    <t>Farhad Masood</t>
  </si>
  <si>
    <t xml:space="preserve">attentively listened to all lectures. Actively participate in group activities. </t>
  </si>
  <si>
    <t>NQ-088</t>
  </si>
  <si>
    <t>Zubair khan</t>
  </si>
  <si>
    <t>Activley Participated</t>
  </si>
  <si>
    <t>DIR-004</t>
  </si>
  <si>
    <t>IT Section</t>
  </si>
  <si>
    <t>Attaullah Khan</t>
  </si>
  <si>
    <t>Director (MIS)</t>
  </si>
  <si>
    <t>DD-012</t>
  </si>
  <si>
    <t>Muddasir Akhlaq Noor</t>
  </si>
  <si>
    <t>Deputy Director (Network System)</t>
  </si>
  <si>
    <t>DD-013</t>
  </si>
  <si>
    <t>Deputy Director (Database)</t>
  </si>
  <si>
    <t>AD-011</t>
  </si>
  <si>
    <t>Nasir Javed Bhatti</t>
  </si>
  <si>
    <t>Assistant Director (Hardware)</t>
  </si>
  <si>
    <t>DEO-009</t>
  </si>
  <si>
    <t xml:space="preserve">Ch. Afzal Ahmed  </t>
  </si>
  <si>
    <t xml:space="preserve">Very actively participated in all group discussions and activities. attentively listened to all lectures. </t>
  </si>
  <si>
    <t>Ahmadi</t>
  </si>
  <si>
    <t>NQ-016</t>
  </si>
  <si>
    <t>Salman Hussain</t>
  </si>
  <si>
    <t>Concepts were not clear to him. trainers explained each &amp; every issue. However, his participation in group presentations/play was not up to the work.</t>
  </si>
  <si>
    <t>NQ-025</t>
  </si>
  <si>
    <t>Muhammad Raheel</t>
  </si>
  <si>
    <t>Actively participated in all sessions/activities. Concipts were not cleared to their. However, after lectures, he was able to answer questions.</t>
  </si>
  <si>
    <t>REC-001</t>
  </si>
  <si>
    <t>REC Sukkur _ REC Sukkur</t>
  </si>
  <si>
    <t xml:space="preserve">Adnan Bashir </t>
  </si>
  <si>
    <t>REC</t>
  </si>
  <si>
    <t>DD-014</t>
  </si>
  <si>
    <t>Deputy Director (IT)</t>
  </si>
  <si>
    <t>DAD-001</t>
  </si>
  <si>
    <t>Jameel Ahmed</t>
  </si>
  <si>
    <t>Deputy Assistant Director (Accounts)</t>
  </si>
  <si>
    <t>03-01-2025 to 24-06-2025
6 Months</t>
  </si>
  <si>
    <t>SA-014</t>
  </si>
  <si>
    <t>Saifullah Ulro</t>
  </si>
  <si>
    <t>D Grade</t>
  </si>
  <si>
    <t>SPA-004</t>
  </si>
  <si>
    <t>Sadaruddin Abbasi</t>
  </si>
  <si>
    <t>DEO-010</t>
  </si>
  <si>
    <t>Amir Muhammad</t>
  </si>
  <si>
    <t>Computer Diploma</t>
  </si>
  <si>
    <t>JA-017</t>
  </si>
  <si>
    <t>Javed Ahmed Nohani</t>
  </si>
  <si>
    <t>SUB-018</t>
  </si>
  <si>
    <t>Shumila Ishaq</t>
  </si>
  <si>
    <t>A Grade</t>
  </si>
  <si>
    <t>SCD-006</t>
  </si>
  <si>
    <t>Niaz Ali</t>
  </si>
  <si>
    <t>DR-003</t>
  </si>
  <si>
    <t>Kaifishan</t>
  </si>
  <si>
    <t>CH-009</t>
  </si>
  <si>
    <t>Abdul Shakoor</t>
  </si>
  <si>
    <t>Sukkur</t>
  </si>
  <si>
    <t>NQ-027</t>
  </si>
  <si>
    <t>Abdul Sami</t>
  </si>
  <si>
    <t>EO-011</t>
  </si>
  <si>
    <t>REC Sukkur Strong Room _ REC Sukkur</t>
  </si>
  <si>
    <t>Assistant Election Commissioner</t>
  </si>
  <si>
    <t>10-11-2025 to 31-12-2025
Docket</t>
  </si>
  <si>
    <t>4330371456435</t>
  </si>
  <si>
    <t>SA-015</t>
  </si>
  <si>
    <t>Salamat Ali</t>
  </si>
  <si>
    <t>JA-018</t>
  </si>
  <si>
    <t>Saeed-ur-Rehman</t>
  </si>
  <si>
    <t>NQ-029</t>
  </si>
  <si>
    <t>Altaf Ahmed</t>
  </si>
  <si>
    <t>CH-010</t>
  </si>
  <si>
    <t>Abdullah</t>
  </si>
  <si>
    <t>AD-012</t>
  </si>
  <si>
    <t>AD (Law) REC Sukkur _ REC Sukkur</t>
  </si>
  <si>
    <t>Zeeshan Haider Qureshi</t>
  </si>
  <si>
    <t>JPA-007</t>
  </si>
  <si>
    <t>Babar Malik</t>
  </si>
  <si>
    <t>Junior Personal Assistant (Law Officer)</t>
  </si>
  <si>
    <t>NQ-028</t>
  </si>
  <si>
    <t>Ahsan Ali</t>
  </si>
  <si>
    <t>Naib Quasid (Law)</t>
  </si>
  <si>
    <t>DEC-007</t>
  </si>
  <si>
    <t>DEC Sukkur _ REC Sukkur</t>
  </si>
  <si>
    <t>Attaullah Brohi</t>
  </si>
  <si>
    <t>01-01-2025 to 24-10-2025
25-10-2025 to 31-12-2025</t>
  </si>
  <si>
    <t>EO-002</t>
  </si>
  <si>
    <t>Sohail Hussain Memon</t>
  </si>
  <si>
    <t>Diploma</t>
  </si>
  <si>
    <t>SA-016</t>
  </si>
  <si>
    <t>Muneer Ahmed</t>
  </si>
  <si>
    <t>DEO-011</t>
  </si>
  <si>
    <t>Imran Ali</t>
  </si>
  <si>
    <t>Diploma IT</t>
  </si>
  <si>
    <t>DEO-012</t>
  </si>
  <si>
    <t>Ahmed Ali</t>
  </si>
  <si>
    <t>DEO-013</t>
  </si>
  <si>
    <t>Shafique Ahmed</t>
  </si>
  <si>
    <t>JA-020</t>
  </si>
  <si>
    <t>Sajid Ali</t>
  </si>
  <si>
    <t>SUB-019</t>
  </si>
  <si>
    <t>Abdul Ghaffar Khaskheli</t>
  </si>
  <si>
    <t>SUB-020</t>
  </si>
  <si>
    <t>SCD-007</t>
  </si>
  <si>
    <t>CH-011</t>
  </si>
  <si>
    <t>Sikandar Ali</t>
  </si>
  <si>
    <t>NQ-030</t>
  </si>
  <si>
    <t>CH-012</t>
  </si>
  <si>
    <t>Manzoor Ahmed Kalhoro</t>
  </si>
  <si>
    <t>F Grade</t>
  </si>
  <si>
    <t>Khairpur</t>
  </si>
  <si>
    <t>NQ-031</t>
  </si>
  <si>
    <t>Muzafar Hussain Solangi</t>
  </si>
  <si>
    <t>DEC-002</t>
  </si>
  <si>
    <t>DEC Ghotki _ REC Sukkur</t>
  </si>
  <si>
    <t>Abdul Majid</t>
  </si>
  <si>
    <t>DEC (OPS)</t>
  </si>
  <si>
    <t>EO-003</t>
  </si>
  <si>
    <t>SA-017</t>
  </si>
  <si>
    <t>Munawar Hussain</t>
  </si>
  <si>
    <t>DEO-014</t>
  </si>
  <si>
    <t>Inayatullah</t>
  </si>
  <si>
    <t>Uploaded</t>
  </si>
  <si>
    <t>DEO-016</t>
  </si>
  <si>
    <t>Mehar Mahar</t>
  </si>
  <si>
    <t>DEO-015</t>
  </si>
  <si>
    <t>Mr. Muhammad Aqeel</t>
  </si>
  <si>
    <t>JA-019</t>
  </si>
  <si>
    <t>Qamaruddin</t>
  </si>
  <si>
    <t>SUB-021</t>
  </si>
  <si>
    <t>Kashif</t>
  </si>
  <si>
    <t>SUB-022</t>
  </si>
  <si>
    <t>Mr. Muhammad Shoaib Idrees</t>
  </si>
  <si>
    <t>SCD-008</t>
  </si>
  <si>
    <t>Ayaz Ali Ulro</t>
  </si>
  <si>
    <t>NQ-032</t>
  </si>
  <si>
    <t>Noor Hassan</t>
  </si>
  <si>
    <t>CH-013</t>
  </si>
  <si>
    <t>Ghotki</t>
  </si>
  <si>
    <t>CH-014</t>
  </si>
  <si>
    <t>Ishtiaq Hussain</t>
  </si>
  <si>
    <t>NQ-033</t>
  </si>
  <si>
    <t>Muhammad Sanaullah</t>
  </si>
  <si>
    <t>DEC-003</t>
  </si>
  <si>
    <t>DEC Khairpur _ REC Sukkur</t>
  </si>
  <si>
    <t>Naeem-ur-Rehman</t>
  </si>
  <si>
    <t>EO-004</t>
  </si>
  <si>
    <t>Asif Amir</t>
  </si>
  <si>
    <t>DEO-017</t>
  </si>
  <si>
    <t>Hafeez Ullah Bapar</t>
  </si>
  <si>
    <t>Docket
01-01-2025 to 26-03-2025
27-03-2025 to 31-12-2025
1 year</t>
  </si>
  <si>
    <t>DEO-019</t>
  </si>
  <si>
    <t>Atta-Mohsin</t>
  </si>
  <si>
    <t>Good 
Fit for promotion</t>
  </si>
  <si>
    <t>SA-002</t>
  </si>
  <si>
    <t>Abid Ali</t>
  </si>
  <si>
    <t>02.06.2022</t>
  </si>
  <si>
    <t>DEO-018</t>
  </si>
  <si>
    <t>Raja Ahmed</t>
  </si>
  <si>
    <t>Docket
01-01-2025 to 26-03-2025
27-03-2025 to 31-12-2025
1 Year</t>
  </si>
  <si>
    <t>JA-029</t>
  </si>
  <si>
    <t>Wajid Ali Larik</t>
  </si>
  <si>
    <t>SUB-023</t>
  </si>
  <si>
    <t xml:space="preserve">Sarfaraz Ali </t>
  </si>
  <si>
    <t>SUB-024</t>
  </si>
  <si>
    <t xml:space="preserve">Azhar Ali </t>
  </si>
  <si>
    <t>SCD-009</t>
  </si>
  <si>
    <t>NQ-035</t>
  </si>
  <si>
    <t>Abdul Qudoos</t>
  </si>
  <si>
    <t>CH-015</t>
  </si>
  <si>
    <t>Ali Hassan Kalhoro</t>
  </si>
  <si>
    <t>NQ-043</t>
  </si>
  <si>
    <t>DIR-002</t>
  </si>
  <si>
    <t>REC Shaheed Benazirabad _ REC SBA</t>
  </si>
  <si>
    <t>Majid Shareef</t>
  </si>
  <si>
    <t>DD-015</t>
  </si>
  <si>
    <t>DAD-002</t>
  </si>
  <si>
    <t>Abdul Samad</t>
  </si>
  <si>
    <t>A++ Grade</t>
  </si>
  <si>
    <t>SA-019</t>
  </si>
  <si>
    <t>Good
Recently promoted/appointed, consideration for promotion premature</t>
  </si>
  <si>
    <t>DEO-020</t>
  </si>
  <si>
    <t>Muhammad Hassan Shafique</t>
  </si>
  <si>
    <t>JA-022</t>
  </si>
  <si>
    <t>Ms. Sehrish</t>
  </si>
  <si>
    <t>SUB-025</t>
  </si>
  <si>
    <t>Hassan Ali Memon</t>
  </si>
  <si>
    <t>DR-004</t>
  </si>
  <si>
    <t>Nadeem Ahmed</t>
  </si>
  <si>
    <t>SCD-010</t>
  </si>
  <si>
    <t>Imran Mallah</t>
  </si>
  <si>
    <t>CH-017</t>
  </si>
  <si>
    <t xml:space="preserve">Imtiaz Ali Keerio </t>
  </si>
  <si>
    <t>Shaheed Benazira Abad</t>
  </si>
  <si>
    <t>NQ-036</t>
  </si>
  <si>
    <t>Muhammad Tariq Bhutta</t>
  </si>
  <si>
    <t>EO-005</t>
  </si>
  <si>
    <t>REC Shaheed Benazirabad Strong Room _ REC SBA</t>
  </si>
  <si>
    <t>Imran Khan Abbasi</t>
  </si>
  <si>
    <t>SA-020</t>
  </si>
  <si>
    <t>JA-023</t>
  </si>
  <si>
    <t>Farhad Ali</t>
  </si>
  <si>
    <t>CH-016</t>
  </si>
  <si>
    <t>Fida Hussain</t>
  </si>
  <si>
    <t>Sanghar</t>
  </si>
  <si>
    <t>NQ-037</t>
  </si>
  <si>
    <t>Aamir Khan</t>
  </si>
  <si>
    <t>DD-003</t>
  </si>
  <si>
    <t>DEC Shaheed Benazirabad _ REC SBA</t>
  </si>
  <si>
    <r>
      <t xml:space="preserve">Deputy Director (ER) </t>
    </r>
    <r>
      <rPr>
        <b/>
        <sz val="10"/>
        <rFont val="Arial"/>
        <family val="2"/>
      </rPr>
      <t xml:space="preserve">(Newly Created) </t>
    </r>
  </si>
  <si>
    <t>DEC-004</t>
  </si>
  <si>
    <t>Muhammad Yousif Majeedano</t>
  </si>
  <si>
    <t>EO-030</t>
  </si>
  <si>
    <t>SA-021</t>
  </si>
  <si>
    <t>Shahzad Ali Khan Bhatti</t>
  </si>
  <si>
    <t>DEO-021</t>
  </si>
  <si>
    <t>Masroor Hussain Memon</t>
  </si>
  <si>
    <t>DEO-022</t>
  </si>
  <si>
    <t>Ali Raza</t>
  </si>
  <si>
    <t>A+ Grade</t>
  </si>
  <si>
    <t>DEO-025</t>
  </si>
  <si>
    <t>Mr. Muhammad Saleem</t>
  </si>
  <si>
    <t>01-01-2025 to 22-10-2025
10 Month 22 Days</t>
  </si>
  <si>
    <t>JA-024</t>
  </si>
  <si>
    <t>Syed Sikandar Ali Shah</t>
  </si>
  <si>
    <t>SUB-026</t>
  </si>
  <si>
    <t>Khalid Hassan Solangi</t>
  </si>
  <si>
    <t>SUB-027</t>
  </si>
  <si>
    <t>Furqan Ali</t>
  </si>
  <si>
    <t>SCD-011</t>
  </si>
  <si>
    <t>Shoukat Ali Keerio</t>
  </si>
  <si>
    <t>CH-018</t>
  </si>
  <si>
    <t xml:space="preserve">Syed Azam Shah </t>
  </si>
  <si>
    <t>CH-019</t>
  </si>
  <si>
    <t>Yasir Ali</t>
  </si>
  <si>
    <t>NQ-039</t>
  </si>
  <si>
    <t>Abdul Manan</t>
  </si>
  <si>
    <t>NQ-038</t>
  </si>
  <si>
    <t>Daniyal Brohi</t>
  </si>
  <si>
    <t>DEC-005</t>
  </si>
  <si>
    <t>DEC Sanghar _ REC SBA</t>
  </si>
  <si>
    <t>Muhammad Sarwar</t>
  </si>
  <si>
    <t>EO-006</t>
  </si>
  <si>
    <t>SA-022</t>
  </si>
  <si>
    <t>Saima Sattar Arain</t>
  </si>
  <si>
    <t>MBA (HR)</t>
  </si>
  <si>
    <t>DEO-024</t>
  </si>
  <si>
    <t>Asif Nawaz Hashmani</t>
  </si>
  <si>
    <t>01-01-2025 to 07-11-2025
Docket
8-11-2025 to 31-12-2025
1 year</t>
  </si>
  <si>
    <t>Very good 
Recommended for accelerated promotion</t>
  </si>
  <si>
    <t>DEO-023</t>
  </si>
  <si>
    <t>Taimoor Ali</t>
  </si>
  <si>
    <t>26-05-2025 to 07-11-2025
Docket
8-11-2025 to 31-12-2025
7 Months</t>
  </si>
  <si>
    <t>Average
Recently Appointed / Not required</t>
  </si>
  <si>
    <t>DEO-100</t>
  </si>
  <si>
    <t>Mr. Zaheer Ali</t>
  </si>
  <si>
    <t>Shaheed Benazirabad</t>
  </si>
  <si>
    <t>JA-061</t>
  </si>
  <si>
    <t>Mr. Muhammad Anus Qureshi</t>
  </si>
  <si>
    <t>SUB-006</t>
  </si>
  <si>
    <t>Mr. Wajid Wazeer</t>
  </si>
  <si>
    <t>SUB-040</t>
  </si>
  <si>
    <t>Tarique Ali</t>
  </si>
  <si>
    <t>SCD-012</t>
  </si>
  <si>
    <t>NQ-040</t>
  </si>
  <si>
    <t>Muhammad Ali</t>
  </si>
  <si>
    <t>Verified degree not received</t>
  </si>
  <si>
    <t>CH-020</t>
  </si>
  <si>
    <t>Jan Muhammad</t>
  </si>
  <si>
    <t>CH-021</t>
  </si>
  <si>
    <t xml:space="preserve">Muhammad  Rafique </t>
  </si>
  <si>
    <t>NQ-041</t>
  </si>
  <si>
    <t>Muhammad Awais</t>
  </si>
  <si>
    <t>DEC-006</t>
  </si>
  <si>
    <t>DEC Naushero Feroze _ REC SBA</t>
  </si>
  <si>
    <t>Khalid Ahmed Mirza</t>
  </si>
  <si>
    <t>EO-008</t>
  </si>
  <si>
    <t>01-01-2025 to 27-03-2025
Docket
28-03-2025 to 31-12-2025</t>
  </si>
  <si>
    <t>SA-023</t>
  </si>
  <si>
    <t>Syed Akbar Shah</t>
  </si>
  <si>
    <t>DEO-027</t>
  </si>
  <si>
    <t>Zakir Hussain Khaskheli</t>
  </si>
  <si>
    <t>DEO-028</t>
  </si>
  <si>
    <t>Muhammad Akram</t>
  </si>
  <si>
    <t>DEO-029</t>
  </si>
  <si>
    <t>Adeel Akhtar</t>
  </si>
  <si>
    <t>Good
Recently Promoted/appointed</t>
  </si>
  <si>
    <t>JA-026</t>
  </si>
  <si>
    <t>Recived by Branch</t>
  </si>
  <si>
    <t>SUB-031</t>
  </si>
  <si>
    <t>SUB-030</t>
  </si>
  <si>
    <t>Hubdar Hussain</t>
  </si>
  <si>
    <t>SCD-013</t>
  </si>
  <si>
    <t>Nisar Ahmed Kalhoro</t>
  </si>
  <si>
    <t>CH-022</t>
  </si>
  <si>
    <t>Fida Hussain Qazi</t>
  </si>
  <si>
    <t>NQ-034</t>
  </si>
  <si>
    <t>Muhammad Ismail Channa</t>
  </si>
  <si>
    <t>CH-023</t>
  </si>
  <si>
    <t>Parveez Ali Phull</t>
  </si>
  <si>
    <t>NQ-042</t>
  </si>
  <si>
    <t>REC-003</t>
  </si>
  <si>
    <t>REC Larkana _ REC Larkana</t>
  </si>
  <si>
    <t>Abdul Wahid</t>
  </si>
  <si>
    <t>DD-016</t>
  </si>
  <si>
    <t>DAD-003</t>
  </si>
  <si>
    <t>Ajaib Ali</t>
  </si>
  <si>
    <t>SA-024</t>
  </si>
  <si>
    <t>Abdul Latif Soomro</t>
  </si>
  <si>
    <t>SPA-006</t>
  </si>
  <si>
    <t>Sanaullah</t>
  </si>
  <si>
    <t>DEO-030</t>
  </si>
  <si>
    <t>Ayaz Ali</t>
  </si>
  <si>
    <t>JA-027</t>
  </si>
  <si>
    <t>Ms. Tunjeena Parveen</t>
  </si>
  <si>
    <t>SUB-032</t>
  </si>
  <si>
    <t>DR-005</t>
  </si>
  <si>
    <t>Ali Muarad Lakho</t>
  </si>
  <si>
    <t>SCD-014</t>
  </si>
  <si>
    <t>Abdul Wahid Mugheri</t>
  </si>
  <si>
    <t>CH-024</t>
  </si>
  <si>
    <t>Fazal Muhammad Kori</t>
  </si>
  <si>
    <t>Kamber Shahdad Kot</t>
  </si>
  <si>
    <t>NQ-044</t>
  </si>
  <si>
    <t>Mudasir Ali</t>
  </si>
  <si>
    <t>EO-009</t>
  </si>
  <si>
    <t>REC Larkana Strong Room _ REC Larkana</t>
  </si>
  <si>
    <t>Nasrullah Soomro</t>
  </si>
  <si>
    <t>05-11-2025 to 31-12-2025
Docekt</t>
  </si>
  <si>
    <t>SA-025</t>
  </si>
  <si>
    <t>JA-028</t>
  </si>
  <si>
    <t>Suhail Asghar</t>
  </si>
  <si>
    <t>CH-026</t>
  </si>
  <si>
    <t>Bashir Ahmed Panhwar</t>
  </si>
  <si>
    <t>Larkana</t>
  </si>
  <si>
    <t>NQ-046</t>
  </si>
  <si>
    <t>Manzar Hussain</t>
  </si>
  <si>
    <t>AD-013</t>
  </si>
  <si>
    <t>AD (Law) REC Larkana _ REC Larkana</t>
  </si>
  <si>
    <t>Shafqat Rasool</t>
  </si>
  <si>
    <t>JPA-008</t>
  </si>
  <si>
    <t>Muhammad Zuhaib</t>
  </si>
  <si>
    <t>A+</t>
  </si>
  <si>
    <t>House No. R36 Block 10 Gulshan Karahchi</t>
  </si>
  <si>
    <t>House No. 50 New Shaikh Zaid Colony Larkana</t>
  </si>
  <si>
    <t>Terminated</t>
  </si>
  <si>
    <t>Promotion</t>
  </si>
  <si>
    <t>NQ-045</t>
  </si>
  <si>
    <t>DEC-001</t>
  </si>
  <si>
    <t>DEC Larkana  _ REC Larkana</t>
  </si>
  <si>
    <t>Amin Bashir Ali Qureshi</t>
  </si>
  <si>
    <t>EO-010</t>
  </si>
  <si>
    <t>Saddam Hussain S/o Allah Dad Jatoi</t>
  </si>
  <si>
    <t>01-01-2025 to 26-03-2025
Docket
27-03-2025 to 24-10-2025
Docket
25-10-2025 to 31-12-2025</t>
  </si>
  <si>
    <t>SA-026</t>
  </si>
  <si>
    <t>Abdul Latif Abbasi</t>
  </si>
  <si>
    <t>DEO-032</t>
  </si>
  <si>
    <t>Shahid Ali (Disable)</t>
  </si>
  <si>
    <t>Diploma in IT</t>
  </si>
  <si>
    <t>DEO-033</t>
  </si>
  <si>
    <t>Assadullah</t>
  </si>
  <si>
    <t>DEO-091</t>
  </si>
  <si>
    <t>Waqar Ahmed</t>
  </si>
  <si>
    <t>He discussed such issues with trainers as well as with participants with interest. However, he mixed up office decorum with harassment and workplace.</t>
  </si>
  <si>
    <t>JA-039</t>
  </si>
  <si>
    <t>Munawar Ali Shaikh (LPR)</t>
  </si>
  <si>
    <t>Done</t>
  </si>
  <si>
    <t>SUB-033</t>
  </si>
  <si>
    <t>Rab Nawaz Lashari</t>
  </si>
  <si>
    <t>SUB-034</t>
  </si>
  <si>
    <t>Muhammad Arshad</t>
  </si>
  <si>
    <t>SCD-015</t>
  </si>
  <si>
    <t>Buxial Ali Panhwar</t>
  </si>
  <si>
    <t>NQ-047</t>
  </si>
  <si>
    <t>Ghulam Muhammad Totani</t>
  </si>
  <si>
    <t>NQ-048</t>
  </si>
  <si>
    <t>Mujeeb Rehman Panhwar</t>
  </si>
  <si>
    <t xml:space="preserve">               </t>
  </si>
  <si>
    <t>CH-027</t>
  </si>
  <si>
    <t>Arshad Ali Lashari</t>
  </si>
  <si>
    <t>CH-031</t>
  </si>
  <si>
    <t>DEC-008</t>
  </si>
  <si>
    <t>DEC Jacobabad _ REC Larkana</t>
  </si>
  <si>
    <t xml:space="preserve">Azizullah Abbasi </t>
  </si>
  <si>
    <t>01-01-2025 to 27-03-2025
01-05-2025 to 31-12-2025
01-01-2025 to 31-12-2025</t>
  </si>
  <si>
    <t>EO-001</t>
  </si>
  <si>
    <t>Saddam Hussain S/o Abdul Hakim Brohi</t>
  </si>
  <si>
    <t>01-01-2025 to 06-04-2025
07-04-2025 to 31-12-2025</t>
  </si>
  <si>
    <t>SA-027</t>
  </si>
  <si>
    <t>DEO-034</t>
  </si>
  <si>
    <t>Khalil Ur Rehman</t>
  </si>
  <si>
    <t>DEO-064</t>
  </si>
  <si>
    <t>Sabghatullah</t>
  </si>
  <si>
    <t>Good 
Recently promoted/appointed</t>
  </si>
  <si>
    <t>JA-030</t>
  </si>
  <si>
    <t>Jamil Ahmed</t>
  </si>
  <si>
    <t>SUB-035</t>
  </si>
  <si>
    <t>Saifullah Jamali</t>
  </si>
  <si>
    <t>Very Good
Fit for promotion</t>
  </si>
  <si>
    <t>SUB-036</t>
  </si>
  <si>
    <t>Muhammad Qasim</t>
  </si>
  <si>
    <t>SCD-016</t>
  </si>
  <si>
    <t>Muhammad Ayub</t>
  </si>
  <si>
    <t>NQ-049</t>
  </si>
  <si>
    <t>Darya Khan</t>
  </si>
  <si>
    <t>CH-029</t>
  </si>
  <si>
    <t>Ghulam Sarwar</t>
  </si>
  <si>
    <t>Shikarpur</t>
  </si>
  <si>
    <t>CH-028</t>
  </si>
  <si>
    <t>Rahimuddin</t>
  </si>
  <si>
    <t>Jacobabad</t>
  </si>
  <si>
    <t>NQ-050</t>
  </si>
  <si>
    <t>Atta Muhammad</t>
  </si>
  <si>
    <t>DEC-009</t>
  </si>
  <si>
    <t>DEC Shikarpur  _ REC Larkana</t>
  </si>
  <si>
    <t>Pervez Ahmed Kalwar</t>
  </si>
  <si>
    <t>4510214375957</t>
  </si>
  <si>
    <t>EO-012</t>
  </si>
  <si>
    <t>SA-028</t>
  </si>
  <si>
    <t>DEO-037</t>
  </si>
  <si>
    <t>Irfan Aijaz</t>
  </si>
  <si>
    <t>4320278420987</t>
  </si>
  <si>
    <t xml:space="preserve">Diploma DIT </t>
  </si>
  <si>
    <t>DEO-038</t>
  </si>
  <si>
    <t>Kamran Ali</t>
  </si>
  <si>
    <t>DEO-041</t>
  </si>
  <si>
    <t>Athar Channa</t>
  </si>
  <si>
    <t>JA-031</t>
  </si>
  <si>
    <t>Ghulam Mustafa Mangi</t>
  </si>
  <si>
    <t>4330473290653</t>
  </si>
  <si>
    <t>SUB-037</t>
  </si>
  <si>
    <t>SUB-038</t>
  </si>
  <si>
    <t>Naeem Ahmed S/o Muhammad Ibrahim Soomro</t>
  </si>
  <si>
    <t>4550504020253</t>
  </si>
  <si>
    <t>SCD-017</t>
  </si>
  <si>
    <t>Abdul Raheem Bhayo</t>
  </si>
  <si>
    <t>4330468068773</t>
  </si>
  <si>
    <t>NQ-051</t>
  </si>
  <si>
    <t>Jahangir</t>
  </si>
  <si>
    <t>4330476571575</t>
  </si>
  <si>
    <t>CH-030</t>
  </si>
  <si>
    <t>Muhammad Adnan</t>
  </si>
  <si>
    <t>4330261059445</t>
  </si>
  <si>
    <t>NQ-099</t>
  </si>
  <si>
    <t>Adeel Ahmed</t>
  </si>
  <si>
    <t xml:space="preserve">Listened to lectures with interest &amp; participated with allention </t>
  </si>
  <si>
    <t>DEC-010</t>
  </si>
  <si>
    <t>DEC Kashmore  _ REC Larkana</t>
  </si>
  <si>
    <t>Abdul Razzak</t>
  </si>
  <si>
    <t>01-01-2025 to 07-03-2025
Docket
01-01-2025 to 31-12-2025</t>
  </si>
  <si>
    <t>EO-013</t>
  </si>
  <si>
    <t>SA-029</t>
  </si>
  <si>
    <t>Adnan Khoso</t>
  </si>
  <si>
    <t>DEO-039</t>
  </si>
  <si>
    <t>Nadar Ali</t>
  </si>
  <si>
    <t>DEO-040</t>
  </si>
  <si>
    <t>Mr. Ayaz Ahmed</t>
  </si>
  <si>
    <t>JA-032</t>
  </si>
  <si>
    <t>SUB-029</t>
  </si>
  <si>
    <t>Muzafar Ali</t>
  </si>
  <si>
    <t>Average
Not requred</t>
  </si>
  <si>
    <t>SUB-039</t>
  </si>
  <si>
    <t>SCD-018</t>
  </si>
  <si>
    <t>Asghar Ali Mahesar</t>
  </si>
  <si>
    <t>CH-025</t>
  </si>
  <si>
    <t>Abdul Sattar</t>
  </si>
  <si>
    <t>NQ-054</t>
  </si>
  <si>
    <t xml:space="preserve">Mst: Abida </t>
  </si>
  <si>
    <t>NQ-053</t>
  </si>
  <si>
    <t>DEC-011</t>
  </si>
  <si>
    <t>DEC Kamber-Shahdadkot  _ REC Larkana</t>
  </si>
  <si>
    <t>Inayatullah Jamali</t>
  </si>
  <si>
    <t>EO-022</t>
  </si>
  <si>
    <t>Kashif Inayat</t>
  </si>
  <si>
    <t>01-01-2025 to 31-07-2025 01-8-2025 to 31-12-2025</t>
  </si>
  <si>
    <t>SA-030</t>
  </si>
  <si>
    <t>Sohail Rasheed</t>
  </si>
  <si>
    <t>DEO-042</t>
  </si>
  <si>
    <t>Muhammad Murtaza</t>
  </si>
  <si>
    <t>DEO-043</t>
  </si>
  <si>
    <t>Junaid Ahmed Magsi</t>
  </si>
  <si>
    <t>DEO-031</t>
  </si>
  <si>
    <t>Abdullah Bhutto</t>
  </si>
  <si>
    <t>JA-062</t>
  </si>
  <si>
    <t>SUB-041</t>
  </si>
  <si>
    <t>Abdul Basit</t>
  </si>
  <si>
    <t>Good
Fit for Promotion</t>
  </si>
  <si>
    <t>SUB-042</t>
  </si>
  <si>
    <t>Abdul Raheem (Disabled)</t>
  </si>
  <si>
    <t>SCD-032</t>
  </si>
  <si>
    <t>Abdul Ghaffar</t>
  </si>
  <si>
    <t>01-01-2025 to 31-12-2025
1 year</t>
  </si>
  <si>
    <t>CH-032</t>
  </si>
  <si>
    <t>Nisar Ahmed Wagan</t>
  </si>
  <si>
    <t>CH-033</t>
  </si>
  <si>
    <t>Shamsuddin Abbasi</t>
  </si>
  <si>
    <t>NQ-056</t>
  </si>
  <si>
    <t xml:space="preserve">Yasir Ali </t>
  </si>
  <si>
    <t>NQ-055</t>
  </si>
  <si>
    <t>Arslan Sohoo</t>
  </si>
  <si>
    <t>DD-017</t>
  </si>
  <si>
    <t>REC Hyderabad _ REC Hyderabad</t>
  </si>
  <si>
    <t>REC-004</t>
  </si>
  <si>
    <t>Azhar Hussain (OPS)</t>
  </si>
  <si>
    <t>DAD-008</t>
  </si>
  <si>
    <t>vacant</t>
  </si>
  <si>
    <t>SPA-007</t>
  </si>
  <si>
    <t>Muhammad Imran</t>
  </si>
  <si>
    <t>Carefully listened to all lectures. Actively participated in all activities.</t>
  </si>
  <si>
    <t>SA-031</t>
  </si>
  <si>
    <t xml:space="preserve">Akhtar Hussain </t>
  </si>
  <si>
    <t>DEO-046</t>
  </si>
  <si>
    <t>Waleed Raza Shah</t>
  </si>
  <si>
    <t>4130291753325</t>
  </si>
  <si>
    <t>JA-034</t>
  </si>
  <si>
    <t>Kamran</t>
  </si>
  <si>
    <t>SUB-043</t>
  </si>
  <si>
    <t>Faiza</t>
  </si>
  <si>
    <t>SCD-020</t>
  </si>
  <si>
    <t>Waheed Ali</t>
  </si>
  <si>
    <t>DR-006</t>
  </si>
  <si>
    <t>Hamza</t>
  </si>
  <si>
    <t>CH-034</t>
  </si>
  <si>
    <t>Amanullah Shaikh</t>
  </si>
  <si>
    <t>NQ-057</t>
  </si>
  <si>
    <t>Syed Ahsan Ali</t>
  </si>
  <si>
    <t>EO-015</t>
  </si>
  <si>
    <t>REC Hyderabad Strong Room _ REC Hyderabad</t>
  </si>
  <si>
    <t>SA-043</t>
  </si>
  <si>
    <t>Saad Ahmed</t>
  </si>
  <si>
    <t>10-10-2025 to 31-12-2025
Docket</t>
  </si>
  <si>
    <t>JA-035</t>
  </si>
  <si>
    <t>Adnan Halepoto</t>
  </si>
  <si>
    <t>CH-035</t>
  </si>
  <si>
    <t xml:space="preserve">Mumtaz Ali Panhwar </t>
  </si>
  <si>
    <t>Dadu</t>
  </si>
  <si>
    <t>NQ-059</t>
  </si>
  <si>
    <t>Haneefullah</t>
  </si>
  <si>
    <t>AD-014</t>
  </si>
  <si>
    <t>AD (Law) REC Hyderabad _ REC Hyderabad</t>
  </si>
  <si>
    <t>Sarmad Sarwar</t>
  </si>
  <si>
    <t>JPA-009</t>
  </si>
  <si>
    <t>Shehzad Memon</t>
  </si>
  <si>
    <t>NQ-058</t>
  </si>
  <si>
    <t>Muhammad Ramzan Halepoto</t>
  </si>
  <si>
    <t>DEC-028</t>
  </si>
  <si>
    <t>DEC Hyderabad _ REC Hyderabad</t>
  </si>
  <si>
    <t>Ahmed Nadeem Shaikh</t>
  </si>
  <si>
    <t>01-01-2025 to 25-08-2025</t>
  </si>
  <si>
    <t>EO-016</t>
  </si>
  <si>
    <t>Waheed Feroze</t>
  </si>
  <si>
    <t>01-01-2025 to 13-08-2025</t>
  </si>
  <si>
    <t>3320222773853</t>
  </si>
  <si>
    <t>SA-033</t>
  </si>
  <si>
    <t>Mrs. Shumaila Hafeez</t>
  </si>
  <si>
    <t>4130311387376</t>
  </si>
  <si>
    <t>DEO-045</t>
  </si>
  <si>
    <t>Naveed Ali Chohan</t>
  </si>
  <si>
    <t>01-01-2025 to 13-08-2025
8 August</t>
  </si>
  <si>
    <t>4130388630169</t>
  </si>
  <si>
    <t>DEO-047</t>
  </si>
  <si>
    <t>Kashif Ilahi</t>
  </si>
  <si>
    <t>4130371138909</t>
  </si>
  <si>
    <t>DEO-069</t>
  </si>
  <si>
    <t>Samiullah Larik</t>
  </si>
  <si>
    <t>JA-036</t>
  </si>
  <si>
    <t>Sadaf</t>
  </si>
  <si>
    <t>4130468217480</t>
  </si>
  <si>
    <t>SUB-045</t>
  </si>
  <si>
    <t>Muhammad Umair</t>
  </si>
  <si>
    <t>4130252575959</t>
  </si>
  <si>
    <t>SUB-055</t>
  </si>
  <si>
    <t>Zuhaib Ali</t>
  </si>
  <si>
    <t>SCD-021</t>
  </si>
  <si>
    <t>Altaf Ali</t>
  </si>
  <si>
    <t>4130474547849</t>
  </si>
  <si>
    <t>CH-037</t>
  </si>
  <si>
    <t>Ali Dino</t>
  </si>
  <si>
    <t>4130306154759</t>
  </si>
  <si>
    <t>NQ-061</t>
  </si>
  <si>
    <t>Abid Ali Shoro</t>
  </si>
  <si>
    <t>4130372251623</t>
  </si>
  <si>
    <t>NQ-060</t>
  </si>
  <si>
    <t>Zeeshan</t>
  </si>
  <si>
    <t>4130334427271</t>
  </si>
  <si>
    <t>CH-036</t>
  </si>
  <si>
    <t>Ghulam Rabbani</t>
  </si>
  <si>
    <t>4130408834803</t>
  </si>
  <si>
    <t>DEC-013</t>
  </si>
  <si>
    <t>DEC Dadu _ REC Hyderabad</t>
  </si>
  <si>
    <t>Syed Shahid Ali Rizvi</t>
  </si>
  <si>
    <t>EO-017</t>
  </si>
  <si>
    <t>Shahab ud din</t>
  </si>
  <si>
    <t>SA-034</t>
  </si>
  <si>
    <t>DEO-048</t>
  </si>
  <si>
    <t>Faizan Ahmed Thebo</t>
  </si>
  <si>
    <t>DEO-049</t>
  </si>
  <si>
    <t>Aftab Ali</t>
  </si>
  <si>
    <t>DEO-050</t>
  </si>
  <si>
    <t>Safeer Hussain</t>
  </si>
  <si>
    <t>JA-037</t>
  </si>
  <si>
    <t xml:space="preserve">Zafar Ali Siyal  </t>
  </si>
  <si>
    <t>SUB-046</t>
  </si>
  <si>
    <t>Aakash Kumar</t>
  </si>
  <si>
    <t>SUB-047</t>
  </si>
  <si>
    <t>Muhammad Ibrahim Lanjar</t>
  </si>
  <si>
    <t>SCD-022</t>
  </si>
  <si>
    <t>Muzaffar Ali  Solangi</t>
  </si>
  <si>
    <t>NQ-062</t>
  </si>
  <si>
    <t xml:space="preserve">Shah Nawaz Abro </t>
  </si>
  <si>
    <t>CH-039</t>
  </si>
  <si>
    <t>Imran Ali  Solangi</t>
  </si>
  <si>
    <t>CH-038</t>
  </si>
  <si>
    <t>Muhammad Ibrahim</t>
  </si>
  <si>
    <t>NQ-063</t>
  </si>
  <si>
    <t>Faheem Ali</t>
  </si>
  <si>
    <t>DEC-014</t>
  </si>
  <si>
    <t>DEC Jamshoro _ REC Hyderabad</t>
  </si>
  <si>
    <t>Amer Mirza</t>
  </si>
  <si>
    <t>EO-018</t>
  </si>
  <si>
    <t>SA-035</t>
  </si>
  <si>
    <t>DEO-051</t>
  </si>
  <si>
    <t>Barkat Ali Hisbani</t>
  </si>
  <si>
    <t>DEO-052</t>
  </si>
  <si>
    <t>Faizan Ahmed Baig</t>
  </si>
  <si>
    <t>JA-038</t>
  </si>
  <si>
    <t>Sahib Zadi</t>
  </si>
  <si>
    <t>SUB-049</t>
  </si>
  <si>
    <t>Shireen Aqsa</t>
  </si>
  <si>
    <t>SUB-050</t>
  </si>
  <si>
    <t>Mirza M. Kazim Mughal</t>
  </si>
  <si>
    <t>SCD-023</t>
  </si>
  <si>
    <t>Qadir Bux</t>
  </si>
  <si>
    <t>CH-075</t>
  </si>
  <si>
    <t>Tando Allahyar</t>
  </si>
  <si>
    <t>NQ-064</t>
  </si>
  <si>
    <t>Abdul Hadi</t>
  </si>
  <si>
    <t>CH-040</t>
  </si>
  <si>
    <t>Ishtiaque Ahmed</t>
  </si>
  <si>
    <t>NQ-065</t>
  </si>
  <si>
    <t>Prem Chand</t>
  </si>
  <si>
    <t>DEC-015</t>
  </si>
  <si>
    <t>DEC Matiari _ REC Hyderabad</t>
  </si>
  <si>
    <t>Kanwar Shujat Ali</t>
  </si>
  <si>
    <t>EO-019</t>
  </si>
  <si>
    <t>Mrs.Bushra Ghori</t>
  </si>
  <si>
    <t>06-11-2025 to 31-12-2025
Docket</t>
  </si>
  <si>
    <t>SA-036</t>
  </si>
  <si>
    <t>Mrs. Saima</t>
  </si>
  <si>
    <t>DEO-053</t>
  </si>
  <si>
    <t>Naseem Ahmed</t>
  </si>
  <si>
    <t>DEO-054</t>
  </si>
  <si>
    <t>Asad Punhal</t>
  </si>
  <si>
    <t>JA-041</t>
  </si>
  <si>
    <t>Zubairuddin Memon</t>
  </si>
  <si>
    <t>SUB-048</t>
  </si>
  <si>
    <t>Jawaid Wagan</t>
  </si>
  <si>
    <t>SUB-051</t>
  </si>
  <si>
    <t>Allah Rakhio Danish</t>
  </si>
  <si>
    <t>SCD-024</t>
  </si>
  <si>
    <t>CH-043</t>
  </si>
  <si>
    <t>Arbab S/o Shafi Muhammad</t>
  </si>
  <si>
    <t>CH-042</t>
  </si>
  <si>
    <t>Manzoor</t>
  </si>
  <si>
    <t>NQ-066</t>
  </si>
  <si>
    <t>Fahad Khan</t>
  </si>
  <si>
    <t>NQ-067</t>
  </si>
  <si>
    <t>Saud</t>
  </si>
  <si>
    <t>DEC-016</t>
  </si>
  <si>
    <t>DEC Tando Allahyar _ REC Hyderabad</t>
  </si>
  <si>
    <t>Muhammad Ashraf Khan</t>
  </si>
  <si>
    <t>EO-020</t>
  </si>
  <si>
    <t>Muhammad Humayun Iqbal</t>
  </si>
  <si>
    <t>Assitant Election Commissioner</t>
  </si>
  <si>
    <t>SA-037</t>
  </si>
  <si>
    <t>Salahuddin Memon</t>
  </si>
  <si>
    <t>DEO-055</t>
  </si>
  <si>
    <t>Noman Karim</t>
  </si>
  <si>
    <t>DEO-056</t>
  </si>
  <si>
    <t>Atif Usman</t>
  </si>
  <si>
    <t>JA-004</t>
  </si>
  <si>
    <t>Abdullah Osama</t>
  </si>
  <si>
    <t>Concepts were clear to him. very actively participated in all group discussions &amp; activities.</t>
  </si>
  <si>
    <t>28-10-2025 to 31-12-2025
Docket</t>
  </si>
  <si>
    <t>SUB-053</t>
  </si>
  <si>
    <t>Adnan Lund Baloch</t>
  </si>
  <si>
    <t>SUB-052</t>
  </si>
  <si>
    <t>Muhammad Abid Zahid</t>
  </si>
  <si>
    <t>Computer Application &amp; Office Manager</t>
  </si>
  <si>
    <t>SCD-038</t>
  </si>
  <si>
    <t>Abdul Rehan</t>
  </si>
  <si>
    <t>A-</t>
  </si>
  <si>
    <t>0315-3083297</t>
  </si>
  <si>
    <t>SCD to SCD</t>
  </si>
  <si>
    <t>06 to 07</t>
  </si>
  <si>
    <t>NQ-068</t>
  </si>
  <si>
    <t>Muhammad Aslam</t>
  </si>
  <si>
    <t>CH-044</t>
  </si>
  <si>
    <t>Arbab S/o M. Ali</t>
  </si>
  <si>
    <t>CH-045</t>
  </si>
  <si>
    <t>Mumtaz Ali Lund</t>
  </si>
  <si>
    <t>NQ-069</t>
  </si>
  <si>
    <t>Faheem Abbas</t>
  </si>
  <si>
    <t>DEC-017</t>
  </si>
  <si>
    <t>DEC Tando Muhammad Khan _ REC Hyderabad</t>
  </si>
  <si>
    <t>Khushal Zada</t>
  </si>
  <si>
    <t>District Election Commission</t>
  </si>
  <si>
    <t>EO-021</t>
  </si>
  <si>
    <t>SA-038</t>
  </si>
  <si>
    <t>Mirza Naveed Ahmed Mughal</t>
  </si>
  <si>
    <t>DEO-057</t>
  </si>
  <si>
    <t>Ghulam Ali Shah</t>
  </si>
  <si>
    <t>DEO-058</t>
  </si>
  <si>
    <t>Sifat Ali Sathio</t>
  </si>
  <si>
    <t>JA-049</t>
  </si>
  <si>
    <t>Khizra</t>
  </si>
  <si>
    <t>SUB-044</t>
  </si>
  <si>
    <t>Akber Ali Abbasi</t>
  </si>
  <si>
    <t>4130407893353</t>
  </si>
  <si>
    <t>SUB-054</t>
  </si>
  <si>
    <t>Santosh Kumar</t>
  </si>
  <si>
    <t>SCD-030</t>
  </si>
  <si>
    <t>NQ-070</t>
  </si>
  <si>
    <t>Jamal Halepoto</t>
  </si>
  <si>
    <t>CH-046</t>
  </si>
  <si>
    <t>Gulzar Ali Phull</t>
  </si>
  <si>
    <t>CH-047</t>
  </si>
  <si>
    <t>Habibullah</t>
  </si>
  <si>
    <t>Badin</t>
  </si>
  <si>
    <t>NQ-106</t>
  </si>
  <si>
    <t>REC-005</t>
  </si>
  <si>
    <t>REC Thatta _ REC Thatta</t>
  </si>
  <si>
    <t>Muhammad Sajjad</t>
  </si>
  <si>
    <t>01-01-2025 to 26-03-2025
Docket
27-03-2025 to 31-12-2025</t>
  </si>
  <si>
    <t>DD-018</t>
  </si>
  <si>
    <t>DAD-005</t>
  </si>
  <si>
    <t>Syed Hassan Ali</t>
  </si>
  <si>
    <t>SPA-002</t>
  </si>
  <si>
    <t>Muhammad Ashraf Shah</t>
  </si>
  <si>
    <t>Issues were clear to him. Very actively participated in all group discussions and activities.</t>
  </si>
  <si>
    <t>DEO-059</t>
  </si>
  <si>
    <t>Manzoor Ali Abbasi</t>
  </si>
  <si>
    <t>DIT</t>
  </si>
  <si>
    <t>SA-039</t>
  </si>
  <si>
    <t>JA-042</t>
  </si>
  <si>
    <t>Zawar Hussain Hashmani</t>
  </si>
  <si>
    <t>SUB-056</t>
  </si>
  <si>
    <t>Muhammad Haris Khan</t>
  </si>
  <si>
    <t>SCD-027</t>
  </si>
  <si>
    <t>Ateeque Ahmed</t>
  </si>
  <si>
    <t>NQ-071</t>
  </si>
  <si>
    <t>DR-007</t>
  </si>
  <si>
    <t>Muhammad Bilal Khan</t>
  </si>
  <si>
    <t>CH-048</t>
  </si>
  <si>
    <t>Khamiso Khan</t>
  </si>
  <si>
    <t>Thatta</t>
  </si>
  <si>
    <t>EO-014</t>
  </si>
  <si>
    <t>REC Thatta Strong Room _ REC Thatta</t>
  </si>
  <si>
    <t>SA-040</t>
  </si>
  <si>
    <t xml:space="preserve">Irfanullah Anjum  </t>
  </si>
  <si>
    <t>JA-043</t>
  </si>
  <si>
    <t>Muhammad Akbar</t>
  </si>
  <si>
    <t>NQ-104</t>
  </si>
  <si>
    <t>CH-049</t>
  </si>
  <si>
    <t>Mumtaz Ali Lashari</t>
  </si>
  <si>
    <t>DEC-018</t>
  </si>
  <si>
    <t>DEC Thatta _ REC Thatta</t>
  </si>
  <si>
    <t>Syeda Humaira Binte Maaz</t>
  </si>
  <si>
    <t>EO-023</t>
  </si>
  <si>
    <t>SA-041</t>
  </si>
  <si>
    <t xml:space="preserve">Nouman Ahmed </t>
  </si>
  <si>
    <t>DEO-061</t>
  </si>
  <si>
    <t>Jehanzeb Khan</t>
  </si>
  <si>
    <t>DEO-060</t>
  </si>
  <si>
    <t>JA-044</t>
  </si>
  <si>
    <t>Bhenjo</t>
  </si>
  <si>
    <t>SUB-057</t>
  </si>
  <si>
    <t xml:space="preserve">Naveed Ahmed </t>
  </si>
  <si>
    <t>SUB-058</t>
  </si>
  <si>
    <t>SCD-028</t>
  </si>
  <si>
    <t>Munawar Narejo</t>
  </si>
  <si>
    <t>NQ-020</t>
  </si>
  <si>
    <t>Sher Aman</t>
  </si>
  <si>
    <t>NQ-074</t>
  </si>
  <si>
    <t>Muhammad Uris</t>
  </si>
  <si>
    <t>CH-050</t>
  </si>
  <si>
    <t>Muhammad Bux</t>
  </si>
  <si>
    <t>DEC-019</t>
  </si>
  <si>
    <t>DEC Badin _ REC Thatta</t>
  </si>
  <si>
    <t xml:space="preserve">Muhammad Hanif </t>
  </si>
  <si>
    <t>EO-024</t>
  </si>
  <si>
    <t>SA-042</t>
  </si>
  <si>
    <t>Awais Ahmed</t>
  </si>
  <si>
    <t>DEO-035</t>
  </si>
  <si>
    <t>Mr. Mushahid Hussain</t>
  </si>
  <si>
    <t>DEO-062</t>
  </si>
  <si>
    <t>DEO-063</t>
  </si>
  <si>
    <t>JA-045</t>
  </si>
  <si>
    <t>Mr. Mehran Ali</t>
  </si>
  <si>
    <t>4320102935963</t>
  </si>
  <si>
    <t>SUB-059</t>
  </si>
  <si>
    <t>Rashid Ali</t>
  </si>
  <si>
    <t>SUB-060</t>
  </si>
  <si>
    <t>Sharjeel</t>
  </si>
  <si>
    <t>SCD-029</t>
  </si>
  <si>
    <t xml:space="preserve">Jahangir </t>
  </si>
  <si>
    <t>CH-052</t>
  </si>
  <si>
    <t>Manzoor Ali</t>
  </si>
  <si>
    <t>CH-051</t>
  </si>
  <si>
    <t>Maqsood Ahmed</t>
  </si>
  <si>
    <t>NQ-076</t>
  </si>
  <si>
    <t>Abdul Razzaque</t>
  </si>
  <si>
    <t>NQ-072</t>
  </si>
  <si>
    <t>Rizwan Khan</t>
  </si>
  <si>
    <t>DEO-066</t>
  </si>
  <si>
    <t>EO-025</t>
  </si>
  <si>
    <t>SUB-061</t>
  </si>
  <si>
    <t>Bahadur Khan</t>
  </si>
  <si>
    <t>SUB-062</t>
  </si>
  <si>
    <t>Zargham Khan Ghori</t>
  </si>
  <si>
    <t>SCD-026</t>
  </si>
  <si>
    <t>Altaf Ahmed Talpur</t>
  </si>
  <si>
    <t>CH-053</t>
  </si>
  <si>
    <t>Faiz Muhammad</t>
  </si>
  <si>
    <t>CH-054</t>
  </si>
  <si>
    <t>Riaz Ali Mastoi</t>
  </si>
  <si>
    <t>NQ-078</t>
  </si>
  <si>
    <t>Muhammad Ahmed</t>
  </si>
  <si>
    <t>YEs</t>
  </si>
  <si>
    <t>JA-003</t>
  </si>
  <si>
    <t>EO-007</t>
  </si>
  <si>
    <t>DD (ER)</t>
  </si>
  <si>
    <t>SUB-085</t>
  </si>
  <si>
    <t>Arsalan Abbas</t>
  </si>
  <si>
    <t>Concepts were clear to him. Not much active in group activities.</t>
  </si>
  <si>
    <t>NQ-026</t>
  </si>
  <si>
    <t>Muhammad Ayaz</t>
  </si>
  <si>
    <t>Overall participation was good</t>
  </si>
  <si>
    <t>NQ-101</t>
  </si>
  <si>
    <t>REC-006</t>
  </si>
  <si>
    <t>REC Mirpurkhas _ REC Mirpurkhas</t>
  </si>
  <si>
    <t>Pervaiz Ahmed Kalhoro</t>
  </si>
  <si>
    <t>DD-019</t>
  </si>
  <si>
    <t>SA-044</t>
  </si>
  <si>
    <t>DAD-006</t>
  </si>
  <si>
    <t>Kashif Malik</t>
  </si>
  <si>
    <t>DEO-067</t>
  </si>
  <si>
    <t>Muhammad Saad Khan</t>
  </si>
  <si>
    <t>JA-047</t>
  </si>
  <si>
    <t xml:space="preserve">Muhammad Qabil </t>
  </si>
  <si>
    <t>SUB-063</t>
  </si>
  <si>
    <t>Waqar Hussain</t>
  </si>
  <si>
    <t>DR-008</t>
  </si>
  <si>
    <t>Muhammad Sualeh Hussain</t>
  </si>
  <si>
    <t>SCD-031</t>
  </si>
  <si>
    <t>Muhammad Sharif</t>
  </si>
  <si>
    <t>NQ-080</t>
  </si>
  <si>
    <t>Nasir Ali</t>
  </si>
  <si>
    <t>CH-055</t>
  </si>
  <si>
    <t>Ghulam Mustafa</t>
  </si>
  <si>
    <t>EO-026</t>
  </si>
  <si>
    <t>REC Mirpurkhas Strong Room _ REC Mirpurkhas</t>
  </si>
  <si>
    <t>Ghulam Farooq</t>
  </si>
  <si>
    <t>07-11-2025 to 31-12-2025
Docket</t>
  </si>
  <si>
    <t>SA-045</t>
  </si>
  <si>
    <t>Muhammad Sohail Qureshi</t>
  </si>
  <si>
    <t>JA-048</t>
  </si>
  <si>
    <t>Noor Muhammad</t>
  </si>
  <si>
    <t>CH-056</t>
  </si>
  <si>
    <t>Mumtaz Ali</t>
  </si>
  <si>
    <t>NQ-081</t>
  </si>
  <si>
    <t xml:space="preserve">Rustam Ali </t>
  </si>
  <si>
    <t>DEC-021</t>
  </si>
  <si>
    <t>DEC Mirpurkhas _ REC Mirpurkhas</t>
  </si>
  <si>
    <t>Khalid Ahmed Lund</t>
  </si>
  <si>
    <t>EO-027</t>
  </si>
  <si>
    <t>Mushtaque Ali Mastoi</t>
  </si>
  <si>
    <t>SA-046</t>
  </si>
  <si>
    <t xml:space="preserve">Syed Anwar Hussain Rizvi  </t>
  </si>
  <si>
    <t>DEO-103</t>
  </si>
  <si>
    <t>DEO-070</t>
  </si>
  <si>
    <t>Mansoor</t>
  </si>
  <si>
    <t>DEO-084</t>
  </si>
  <si>
    <t>Asif Khan</t>
  </si>
  <si>
    <t>JA-040</t>
  </si>
  <si>
    <t xml:space="preserve">Rana Muhammad Arif </t>
  </si>
  <si>
    <t>SUB-065</t>
  </si>
  <si>
    <t>Sajjad Ali</t>
  </si>
  <si>
    <t>SUB-080</t>
  </si>
  <si>
    <t>SCD-025</t>
  </si>
  <si>
    <t>NQ-082</t>
  </si>
  <si>
    <t>Sanjay Kumar</t>
  </si>
  <si>
    <t>CH-058</t>
  </si>
  <si>
    <t>Badal Khan</t>
  </si>
  <si>
    <t>Umer Kot</t>
  </si>
  <si>
    <t>CH-057</t>
  </si>
  <si>
    <t>Qurban Ali</t>
  </si>
  <si>
    <t>NQ-083</t>
  </si>
  <si>
    <t>Nadir Khan</t>
  </si>
  <si>
    <t>DEC-022</t>
  </si>
  <si>
    <t>DEC Tharparkar _ REC Mirpurkhas</t>
  </si>
  <si>
    <t>EO-028</t>
  </si>
  <si>
    <t>Syed Asif Hussain Zaidi</t>
  </si>
  <si>
    <t>SA-047</t>
  </si>
  <si>
    <t>Shayam Sundar</t>
  </si>
  <si>
    <t>Yes
Not verified HEC</t>
  </si>
  <si>
    <t>DEO-071</t>
  </si>
  <si>
    <t>Mr. Abdul Rauf</t>
  </si>
  <si>
    <t>DEO-072</t>
  </si>
  <si>
    <t>Muslim Raza</t>
  </si>
  <si>
    <t>DEO-073</t>
  </si>
  <si>
    <t>Awais Ahmed Naich</t>
  </si>
  <si>
    <t>Verifiied Certificate of Diploma IT</t>
  </si>
  <si>
    <t>JA-050</t>
  </si>
  <si>
    <t>Noman Ahmed</t>
  </si>
  <si>
    <t>SUB-066</t>
  </si>
  <si>
    <t xml:space="preserve">Moosa </t>
  </si>
  <si>
    <t>SUB-067</t>
  </si>
  <si>
    <t>Ali Haider Shah</t>
  </si>
  <si>
    <t>SCD-033</t>
  </si>
  <si>
    <t xml:space="preserve">Dodo Khan </t>
  </si>
  <si>
    <t>CH-059</t>
  </si>
  <si>
    <t>Amir Bux</t>
  </si>
  <si>
    <t>Tharparkar</t>
  </si>
  <si>
    <t>NQ-084</t>
  </si>
  <si>
    <t xml:space="preserve">Jain Khan </t>
  </si>
  <si>
    <t>CH-076</t>
  </si>
  <si>
    <t>NQ-085</t>
  </si>
  <si>
    <t>DEC-023</t>
  </si>
  <si>
    <t>DEC Umerkot _ REC Mirpurkhas</t>
  </si>
  <si>
    <t>Syed Tayab Zawar Bukhari</t>
  </si>
  <si>
    <t>EO-029</t>
  </si>
  <si>
    <t>Lutuf Ali Mastoi</t>
  </si>
  <si>
    <t>SA-048</t>
  </si>
  <si>
    <t>Jasroop Das</t>
  </si>
  <si>
    <t>DEO-074</t>
  </si>
  <si>
    <t>Shahzaib Ali</t>
  </si>
  <si>
    <t>DEO-075</t>
  </si>
  <si>
    <t>Awais Ahmed S/o Shakeel Ahmed Memon</t>
  </si>
  <si>
    <t>JA-051</t>
  </si>
  <si>
    <t>Suresh S/o Aatam</t>
  </si>
  <si>
    <t>SUB-068</t>
  </si>
  <si>
    <t>Mr. Abdul Karim</t>
  </si>
  <si>
    <t>SUB-069</t>
  </si>
  <si>
    <t>SCD-034</t>
  </si>
  <si>
    <t>Muhammad Soomar</t>
  </si>
  <si>
    <t>NQ-086</t>
  </si>
  <si>
    <t>CH-062</t>
  </si>
  <si>
    <t xml:space="preserve">Akhtar Ali </t>
  </si>
  <si>
    <t>CH-061</t>
  </si>
  <si>
    <t>Inaam</t>
  </si>
  <si>
    <t>NQ-087</t>
  </si>
  <si>
    <t>Muhammad Adnan Saleem</t>
  </si>
  <si>
    <t>REC-007</t>
  </si>
  <si>
    <t>REC Karachi _ REC Karachi</t>
  </si>
  <si>
    <t>Abdul Rehman Arain</t>
  </si>
  <si>
    <t>Remaining</t>
  </si>
  <si>
    <t>DD-020</t>
  </si>
  <si>
    <t>DAD-007</t>
  </si>
  <si>
    <t>Ms.Kanwal</t>
  </si>
  <si>
    <t>Participated actively in group discussion as well as in plays</t>
  </si>
  <si>
    <t>SPA-010</t>
  </si>
  <si>
    <t>Adeel Iqbal</t>
  </si>
  <si>
    <t>SA-012</t>
  </si>
  <si>
    <t>DEC-024</t>
  </si>
  <si>
    <t>DEC Malir _ REC Karachi</t>
  </si>
  <si>
    <t>Sikandar Ali Channar</t>
  </si>
  <si>
    <t>EO-031</t>
  </si>
  <si>
    <t>Farah Gul</t>
  </si>
  <si>
    <t>01-04-2025 to 31-12-2025</t>
  </si>
  <si>
    <t>DEC-025</t>
  </si>
  <si>
    <t>DEC Korangi _ REC Karachi</t>
  </si>
  <si>
    <t>Syed Aamir Hussain Shah</t>
  </si>
  <si>
    <t>EO-032</t>
  </si>
  <si>
    <t>AD-006</t>
  </si>
  <si>
    <t>DEC Karachi Central _ REC Karachi</t>
  </si>
  <si>
    <t>Syeda Keenjhar</t>
  </si>
  <si>
    <t>DEC-026</t>
  </si>
  <si>
    <t>Ahsan Altaf</t>
  </si>
  <si>
    <t>4550496534313</t>
  </si>
  <si>
    <t>DEC-027</t>
  </si>
  <si>
    <t>DEC Karachi East _ REC Karachi</t>
  </si>
  <si>
    <t>Shahnawaz Brohi</t>
  </si>
  <si>
    <t>EO-034</t>
  </si>
  <si>
    <t>Sarwat Batool</t>
  </si>
  <si>
    <t>REC Karachi Strong Room _ REC Karachi</t>
  </si>
  <si>
    <t>DEO-082</t>
  </si>
  <si>
    <t>DEC-029</t>
  </si>
  <si>
    <t>DEC Karachi South _ REC Karachi</t>
  </si>
  <si>
    <t>Mrs. Azra Mahesar</t>
  </si>
  <si>
    <t>EO-036</t>
  </si>
  <si>
    <t>Kashan Hussain</t>
  </si>
  <si>
    <t>DEC-030</t>
  </si>
  <si>
    <t>DEC Keamari _ REC Karachi</t>
  </si>
  <si>
    <t>Muhammad Imran Arain</t>
  </si>
  <si>
    <t>EO-037</t>
  </si>
  <si>
    <t>Shafaq Qamar</t>
  </si>
  <si>
    <t>SA-050</t>
  </si>
  <si>
    <t>Ahsen Javed</t>
  </si>
  <si>
    <t>The official has great abilities performed well</t>
  </si>
  <si>
    <t>01-01-2025 to 27-01-2025
Docket
28-01-2025 to 31-12-2025
11 Months</t>
  </si>
  <si>
    <t>SA-051</t>
  </si>
  <si>
    <t>Mst. Rahila Sultana</t>
  </si>
  <si>
    <t>Average
Not ye fit for promotion</t>
  </si>
  <si>
    <t>SA-052</t>
  </si>
  <si>
    <t>Syed Hasnain Zaidi</t>
  </si>
  <si>
    <t>SA-054</t>
  </si>
  <si>
    <t>Haider Iqbal</t>
  </si>
  <si>
    <t>SA-055</t>
  </si>
  <si>
    <t>DEC Karachi West _ REC Karachi</t>
  </si>
  <si>
    <t>Aquib Ali</t>
  </si>
  <si>
    <t>01-01-2025 to 24-08-2025
25-08-2025 to 31-12-2025
1 year</t>
  </si>
  <si>
    <t>Good 
Fit for Promotion
Very Good
Fit for Promotion</t>
  </si>
  <si>
    <t>SA-018</t>
  </si>
  <si>
    <t>Zamir Hussain Phulphto</t>
  </si>
  <si>
    <t>Proper attention was paid to the lecture. However, he did not took good interst in group discussions, plays etc.</t>
  </si>
  <si>
    <t>20-1-2025 to 31-12-2025
11-5 Months</t>
  </si>
  <si>
    <t xml:space="preserve">Reacived by branch </t>
  </si>
  <si>
    <t>SA-057</t>
  </si>
  <si>
    <t>Syed Athar Hussain</t>
  </si>
  <si>
    <t xml:space="preserve">Actively participated in all group activities. </t>
  </si>
  <si>
    <t>DEO-083</t>
  </si>
  <si>
    <t>Muhammad Faraz Shaikh</t>
  </si>
  <si>
    <t>Actively Participated</t>
  </si>
  <si>
    <t>DEO to DEO</t>
  </si>
  <si>
    <t>14 to 15</t>
  </si>
  <si>
    <t>DEC-012</t>
  </si>
  <si>
    <t>DEO-078</t>
  </si>
  <si>
    <t>Mst. Sadaf Siddqui</t>
  </si>
  <si>
    <t>Good participate she understood basic concepts of training properly participate in all activities</t>
  </si>
  <si>
    <t>DEO-087</t>
  </si>
  <si>
    <t>Muhammad Dilshad Ahmed</t>
  </si>
  <si>
    <t>Listened lecture by trainers with interest &amp; actively participated in group discessions presentation as well as in play .</t>
  </si>
  <si>
    <t>01-07-2025 to 31-12-2025
6 Months</t>
  </si>
  <si>
    <t>Good
Recommended for Accelerated promotion</t>
  </si>
  <si>
    <t>DEO-080</t>
  </si>
  <si>
    <t>Ghazanfar Gul</t>
  </si>
  <si>
    <t>Active Participation</t>
  </si>
  <si>
    <t>CIT Diploma</t>
  </si>
  <si>
    <t>SA-053</t>
  </si>
  <si>
    <t xml:space="preserve">Good performance in all sessions. Good understanding of concepts </t>
  </si>
  <si>
    <t>Promotee</t>
  </si>
  <si>
    <t>JA to SA</t>
  </si>
  <si>
    <t>13 to 15</t>
  </si>
  <si>
    <t>DEO-076</t>
  </si>
  <si>
    <t>Muhammad Faisal Khan</t>
  </si>
  <si>
    <t>Actively participated in all activities and took good interest in training.</t>
  </si>
  <si>
    <t>DEO-077</t>
  </si>
  <si>
    <t>Monis Aziz</t>
  </si>
  <si>
    <t>Participated actively good performance</t>
  </si>
  <si>
    <t>DEO-097</t>
  </si>
  <si>
    <t>Abid Sadiq</t>
  </si>
  <si>
    <t>Active participation. Took interst in the content</t>
  </si>
  <si>
    <t>01-06-2025 to 31-07-2025
01-08-2025 to 31-12-2025
6 Months</t>
  </si>
  <si>
    <t>Very Good
Recommended for accelerated promotion
Good 
Fit for promotion</t>
  </si>
  <si>
    <t>DEO-098</t>
  </si>
  <si>
    <t>Abdul Majeed</t>
  </si>
  <si>
    <t>DEO-099</t>
  </si>
  <si>
    <t>Waqar Ali</t>
  </si>
  <si>
    <t>Has great potaintial satisfactory</t>
  </si>
  <si>
    <t>DEO-101</t>
  </si>
  <si>
    <t>Mr. Abdul Wahab</t>
  </si>
  <si>
    <t>04-11-2025 to 31-12-2025
Docket</t>
  </si>
  <si>
    <t>DEO-081</t>
  </si>
  <si>
    <t>Arshad Ali</t>
  </si>
  <si>
    <t>Excellent participation in all sessions. Basic concepts were already cleared. He also took very good interest in discussions with trainer. played an excellent role in group play.</t>
  </si>
  <si>
    <t>EO-035</t>
  </si>
  <si>
    <t>DEO-085</t>
  </si>
  <si>
    <t>Mr. Muhammad Arsalan</t>
  </si>
  <si>
    <t>DEO-086</t>
  </si>
  <si>
    <t>Naeem Ullah</t>
  </si>
  <si>
    <t>Performance in all sessions was satisfactory.</t>
  </si>
  <si>
    <t>DEO-079</t>
  </si>
  <si>
    <t>Mr. Muhammad Aadil</t>
  </si>
  <si>
    <t>Docket
27-10-2025 to 31-12-2025
2 months</t>
  </si>
  <si>
    <t>DEO-088</t>
  </si>
  <si>
    <t>Raja Hulio</t>
  </si>
  <si>
    <t>Actively Particiapted</t>
  </si>
  <si>
    <t>01-01-2025 to 31-03-2025
01-04-2025 to 31-07-2025
01-08-2025 to 31-12-2025
1 Year</t>
  </si>
  <si>
    <t xml:space="preserve">Good 
Very Good
Very Good
Fit for promotion
</t>
  </si>
  <si>
    <t>4320393479471</t>
  </si>
  <si>
    <t>DEO-089</t>
  </si>
  <si>
    <t>Imran Ali S/o Mohsin Ali</t>
  </si>
  <si>
    <t>01-01-2025 to 31-03-2025
01-04-2025 to 31-07-2025
01-08-2025 to 31-12-2025
8 Months</t>
  </si>
  <si>
    <t>Good 
Fit for promotion
Very Good
Good</t>
  </si>
  <si>
    <t>DEO-036</t>
  </si>
  <si>
    <t>Mr. Imran Khan</t>
  </si>
  <si>
    <t>31-10-2025 to 31-12-2025
Docket</t>
  </si>
  <si>
    <t>DEO-092</t>
  </si>
  <si>
    <t>DEO-093</t>
  </si>
  <si>
    <t>Shoaib Ahmed</t>
  </si>
  <si>
    <t>01-01-2025 to 24-08-2025
25-08-2025 to 31-12-2025
1 Year</t>
  </si>
  <si>
    <t>Good 
Fit for promotion
Good 
Fit for promotion</t>
  </si>
  <si>
    <t>DIT Deploma</t>
  </si>
  <si>
    <t>SUB-064</t>
  </si>
  <si>
    <t>DEO-095</t>
  </si>
  <si>
    <t>Aajiz Ali</t>
  </si>
  <si>
    <t>He was well aware of issues, and through training, he was further polished. He very actively participated in group discussions, presentations as well as play.</t>
  </si>
  <si>
    <t>DEO-096</t>
  </si>
  <si>
    <t>DEO-090</t>
  </si>
  <si>
    <t>Mr. Muhammad Khalil Rehman</t>
  </si>
  <si>
    <t>JA-052</t>
  </si>
  <si>
    <t>Vicky Kamran</t>
  </si>
  <si>
    <t>Performed actively</t>
  </si>
  <si>
    <t>JA-053</t>
  </si>
  <si>
    <t>Shaikh Muhammad Munir</t>
  </si>
  <si>
    <t>JA-054</t>
  </si>
  <si>
    <t>Asad Ullah Mirani</t>
  </si>
  <si>
    <t>Properly attended all sessions. Participated in all activities with interest.</t>
  </si>
  <si>
    <t>JA-055</t>
  </si>
  <si>
    <t>Muhammad Javed</t>
  </si>
  <si>
    <t>JA-015</t>
  </si>
  <si>
    <t>Muhammad Rameez Khan</t>
  </si>
  <si>
    <t>Actively participated in all group activities/sessions. Discussed issues of harassment with participants as well as trainers.</t>
  </si>
  <si>
    <t>JA-057</t>
  </si>
  <si>
    <t>Abdul Salam</t>
  </si>
  <si>
    <t>Properly listened to lectures with interest and participated in all activities.</t>
  </si>
  <si>
    <t>Very Good
Remomended for accelerated promotion</t>
  </si>
  <si>
    <t>JA-058</t>
  </si>
  <si>
    <t>Syed Salman Shah</t>
  </si>
  <si>
    <t>01-01-2025 to 24-08-2025
8 Month</t>
  </si>
  <si>
    <t>Yes
Not verified board</t>
  </si>
  <si>
    <t>JA-059</t>
  </si>
  <si>
    <t>Syed Yasir Hussain Zaidi</t>
  </si>
  <si>
    <t>Took good interest in training. Actively participated in all activities like group discussions, presentations as well as play.</t>
  </si>
  <si>
    <t>JA-060</t>
  </si>
  <si>
    <t>SUB-004</t>
  </si>
  <si>
    <t>Muhammad Shahzad</t>
  </si>
  <si>
    <t>SUB-071</t>
  </si>
  <si>
    <t>Waqar Aslam</t>
  </si>
  <si>
    <t>Excellent performance in all sessions.</t>
  </si>
  <si>
    <t>SUB-072</t>
  </si>
  <si>
    <t>SUB-082</t>
  </si>
  <si>
    <t>Shahjahan Abro</t>
  </si>
  <si>
    <t xml:space="preserve">01-01-2025 to 31-12-2025
1 Year </t>
  </si>
  <si>
    <t>SUB-074</t>
  </si>
  <si>
    <t>Zakir Ali</t>
  </si>
  <si>
    <t>Performance was average. However he attentivly listened lecture of trainer</t>
  </si>
  <si>
    <t>SUB-075</t>
  </si>
  <si>
    <t>Aqib Ali</t>
  </si>
  <si>
    <t>Took good interest in all sessions. Participation in all activities was also excellent.</t>
  </si>
  <si>
    <t>Single</t>
  </si>
  <si>
    <t>SUB-076</t>
  </si>
  <si>
    <t>Ahsan</t>
  </si>
  <si>
    <t>Sub to Sub</t>
  </si>
  <si>
    <t>09 to 11</t>
  </si>
  <si>
    <t>SUB-008</t>
  </si>
  <si>
    <t>Listened attentively to all lectures. Actively participate in all group activities.</t>
  </si>
  <si>
    <t>SUB-079</t>
  </si>
  <si>
    <t>Muhammad Salman</t>
  </si>
  <si>
    <t>Performance well</t>
  </si>
  <si>
    <t>21-07-2025 to 31-12-2025
5 Months 9 days</t>
  </si>
  <si>
    <t>SUB-073</t>
  </si>
  <si>
    <t xml:space="preserve">Naqqash Javed </t>
  </si>
  <si>
    <t>28-07-2025 to 31-12-2025 5 Months</t>
  </si>
  <si>
    <t>SUB-078</t>
  </si>
  <si>
    <t>Syed Fahad Bukhari</t>
  </si>
  <si>
    <t>22-07-2025 to 31-12-2025
6 Monts</t>
  </si>
  <si>
    <t>SUB-081</t>
  </si>
  <si>
    <t>Zain-ul-Abedin</t>
  </si>
  <si>
    <t>SUB-083</t>
  </si>
  <si>
    <t>Abdul Rasheed</t>
  </si>
  <si>
    <t>Participated actively Satisfactory</t>
  </si>
  <si>
    <t>SUB-084</t>
  </si>
  <si>
    <t>Muhammad Hashir</t>
  </si>
  <si>
    <t>Performed well</t>
  </si>
  <si>
    <t>DR-009</t>
  </si>
  <si>
    <t>Anees Ahmed Lodhi</t>
  </si>
  <si>
    <t>Took a good interest in understanding basic concepts. However, he was not able to participate properly in discussions or play. found it reluctant to stand his views</t>
  </si>
  <si>
    <t>SCD-036</t>
  </si>
  <si>
    <t>Ali Rehman</t>
  </si>
  <si>
    <t>The official has great potential, he particiapted well and displayed great interest and understanding of content</t>
  </si>
  <si>
    <t>SCD-037</t>
  </si>
  <si>
    <t>Muhammad Bilal</t>
  </si>
  <si>
    <t>Actively Participate</t>
  </si>
  <si>
    <t>SCD-002</t>
  </si>
  <si>
    <t>Naseer Masih</t>
  </si>
  <si>
    <t>After training, he became able to understand the issue. Participation was average.</t>
  </si>
  <si>
    <t>SCD-039</t>
  </si>
  <si>
    <t>Aqib Javed</t>
  </si>
  <si>
    <t>Excelent expectation.</t>
  </si>
  <si>
    <t>SCD-040</t>
  </si>
  <si>
    <t>Asghar Ali</t>
  </si>
  <si>
    <t>SCD-041</t>
  </si>
  <si>
    <t>SCD-042</t>
  </si>
  <si>
    <t>SCD-035</t>
  </si>
  <si>
    <t>Sadam Ali</t>
  </si>
  <si>
    <t>NQ-094</t>
  </si>
  <si>
    <t xml:space="preserve">Ashiq Hussain </t>
  </si>
  <si>
    <t>NQ-096</t>
  </si>
  <si>
    <t>NQ-097</t>
  </si>
  <si>
    <t>Sikander Ali</t>
  </si>
  <si>
    <t>Despite proper training he was unable to understand basic concepts not able to participate is group discussion</t>
  </si>
  <si>
    <t>CH-070</t>
  </si>
  <si>
    <t>Muhammad Haroon</t>
  </si>
  <si>
    <t>The official has potantial for performing even better overall satisfactry</t>
  </si>
  <si>
    <t>CH-063</t>
  </si>
  <si>
    <t>Syed Bhural Shah</t>
  </si>
  <si>
    <t xml:space="preserve">He was able to understand the issue but did not participate properly in discussions, group activities &amp; play. Despite training, he was found unable to answer queries </t>
  </si>
  <si>
    <t>CH-064</t>
  </si>
  <si>
    <t>Yasir Mehmood</t>
  </si>
  <si>
    <t>CH-007</t>
  </si>
  <si>
    <t>Sher Ali</t>
  </si>
  <si>
    <t>NQ-090</t>
  </si>
  <si>
    <t>Asad Ali Khan</t>
  </si>
  <si>
    <t xml:space="preserve">The official was under-confident however, his performance was satisfactory
</t>
  </si>
  <si>
    <t>CH-066</t>
  </si>
  <si>
    <t xml:space="preserve">Nazeer </t>
  </si>
  <si>
    <t>May require further training</t>
  </si>
  <si>
    <t>NQ-093</t>
  </si>
  <si>
    <t>Muhammad Azeem</t>
  </si>
  <si>
    <t>CH-067</t>
  </si>
  <si>
    <t>Nadir Ali</t>
  </si>
  <si>
    <t xml:space="preserve">Participated with interest &amp; was able to understand concepts </t>
  </si>
  <si>
    <t>CH-068</t>
  </si>
  <si>
    <t>Asif Ali Razvi (Extra Staff Central)</t>
  </si>
  <si>
    <t>NQ-095</t>
  </si>
  <si>
    <t>Muhammad Waqas</t>
  </si>
  <si>
    <t>CH-069</t>
  </si>
  <si>
    <t>Rizwan</t>
  </si>
  <si>
    <t>CH-074</t>
  </si>
  <si>
    <t>Naveed Ahmed Qureshi (Extra staff)</t>
  </si>
  <si>
    <t>NQ-092</t>
  </si>
  <si>
    <t xml:space="preserve">Muhammad Asif </t>
  </si>
  <si>
    <t>Participated with attention. However performance in group activity was not good.</t>
  </si>
  <si>
    <t>DEO-107</t>
  </si>
  <si>
    <t>NQ-098</t>
  </si>
  <si>
    <t>Chashman Shahid</t>
  </si>
  <si>
    <t>Performance well. Satisfactory.</t>
  </si>
  <si>
    <t>Last degree completed on Jan 225</t>
  </si>
  <si>
    <t>CH-071</t>
  </si>
  <si>
    <t>Sultan Siddiqui</t>
  </si>
  <si>
    <t>NQ-011</t>
  </si>
  <si>
    <t>Heena</t>
  </si>
  <si>
    <t xml:space="preserve">Carefully listesed alllectures. Actively participated in all activtis </t>
  </si>
  <si>
    <t>CH-073</t>
  </si>
  <si>
    <t>Shafiqullah</t>
  </si>
  <si>
    <t>Took good interst is all sessions. Participation in all sessions was also good.</t>
  </si>
  <si>
    <t>NQ-103</t>
  </si>
  <si>
    <t>Syed Taimoor Ali</t>
  </si>
  <si>
    <t>Attended training with intent and participated in all activities</t>
  </si>
  <si>
    <t>NQ-105</t>
  </si>
  <si>
    <t>Muhammad Babar</t>
  </si>
  <si>
    <t>NQ-077</t>
  </si>
  <si>
    <t>Muhammad Aqib Soomro</t>
  </si>
  <si>
    <r>
      <t xml:space="preserve">Naib Quasid </t>
    </r>
    <r>
      <rPr>
        <b/>
        <sz val="10"/>
        <rFont val="Arial"/>
        <family val="2"/>
      </rPr>
      <t>(Newly Created)</t>
    </r>
  </si>
  <si>
    <t>NQ-091</t>
  </si>
  <si>
    <t>Noman Ali Tunio</t>
  </si>
  <si>
    <t>NQ-052</t>
  </si>
  <si>
    <t>Waseem Ali</t>
  </si>
  <si>
    <t>4320256274427</t>
  </si>
  <si>
    <t>NQ-014</t>
  </si>
  <si>
    <t>Muhammad Hamza</t>
  </si>
  <si>
    <t>concepts were not clear to him. However, after lectures &amp; leasing, he is well able to understand concepts.</t>
  </si>
  <si>
    <t>NQ-075</t>
  </si>
  <si>
    <t>Urooj Akhtar</t>
  </si>
  <si>
    <t xml:space="preserve">Listened attentively to all lectures. Actively participated in all activities.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</si>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</sst>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00000\-0000000\-0"/>
    <numFmt numFmtId="166" formatCode="[$-409]d/mmm/yyyy;@"/>
    <numFmt numFmtId="167" formatCode="[$]dd/mmm/yyyy;@" x16r2:formatCode16="[$-en-PK,1]dd/mm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name val="Cambria"/>
      <family val="1"/>
    </font>
    <font>
      <b/>
      <sz val="14"/>
      <color theme="0"/>
      <name val="Cambria"/>
      <family val="1"/>
    </font>
    <font>
      <sz val="14"/>
      <color theme="0"/>
      <name val="Cambria"/>
      <family val="1"/>
    </font>
    <font>
      <sz val="10"/>
      <color theme="1"/>
      <name val="Cambria"/>
      <family val="1"/>
    </font>
    <font>
      <sz val="11"/>
      <color rgb="FFFF0000"/>
      <name val="Cambria"/>
      <family val="1"/>
    </font>
    <font>
      <sz val="9"/>
      <name val="Cambria"/>
      <family val="1"/>
    </font>
    <font>
      <sz val="11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9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166" fontId="8" fillId="0" borderId="3" xfId="0" applyNumberFormat="1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/>
    <xf numFmtId="165" fontId="1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166" fontId="8" fillId="7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49" fontId="2" fillId="0" borderId="3" xfId="0" applyNumberFormat="1" applyFont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67" formatCode="[$]dd/mmm/yyyy;@" x16r2:formatCode16="[$-en-PK,1]dd/mmm/yy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65" formatCode="00000\-0000000\-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65" formatCode="00000\-0000000\-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65" formatCode="00000\-0000000\-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65" formatCode="00000\-0000000\-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65" formatCode="00000\-0000000\-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65" formatCode="00000\-0000000\-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64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64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65" formatCode="00000\-0000000\-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Cambria"/>
        <family val="1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66675</xdr:colOff>
          <xdr:row>0</xdr:row>
          <xdr:rowOff>161925</xdr:rowOff>
        </xdr:to>
        <xdr:sp macro="" textlink="">
          <xdr:nvSpPr>
            <xdr:cNvPr id="1025" name="SearchBox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6D3ED75-1DC5-4D58-A3B9-E2CB81811F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tablishment%20Work/Train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stablishment%20Work/Database/Employees%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ining"/>
      <sheetName val="Kar 1"/>
      <sheetName val="Kar 2"/>
      <sheetName val="Kar 3"/>
      <sheetName val="HQ 1"/>
      <sheetName val="HQ 2"/>
      <sheetName val="HQ 3"/>
      <sheetName val="HQ 4"/>
      <sheetName val="SBA"/>
      <sheetName val="Hyd 3"/>
      <sheetName val="Training (2)"/>
    </sheetNames>
    <sheetDataSet>
      <sheetData sheetId="0">
        <row r="3">
          <cell r="A3" t="str">
            <v>SPA-001</v>
          </cell>
          <cell r="B3" t="str">
            <v xml:space="preserve">Senior Personal Assistant </v>
          </cell>
          <cell r="C3" t="str">
            <v>JPEC (Admn) Office _ PEC Office</v>
          </cell>
          <cell r="D3" t="e">
            <v>#N/A</v>
          </cell>
          <cell r="E3" t="str">
            <v>Muhammad Rizwan</v>
          </cell>
          <cell r="F3">
            <v>16</v>
          </cell>
          <cell r="G3" t="str">
            <v xml:space="preserve">Senior Personal Assistant </v>
          </cell>
          <cell r="H3">
            <v>1</v>
          </cell>
          <cell r="I3">
            <v>0.56999999999999995</v>
          </cell>
          <cell r="J3" t="str">
            <v>After training, concepts cleared to him. participate in group discussions and activities was average.</v>
          </cell>
        </row>
        <row r="4">
          <cell r="A4" t="str">
            <v>SA-001</v>
          </cell>
          <cell r="B4" t="str">
            <v>Senior Assistant</v>
          </cell>
          <cell r="C4" t="str">
            <v>PEC Office _ PEC Office</v>
          </cell>
          <cell r="D4" t="e">
            <v>#REF!</v>
          </cell>
          <cell r="E4" t="str">
            <v>Vacant</v>
          </cell>
          <cell r="F4">
            <v>15</v>
          </cell>
          <cell r="G4" t="str">
            <v>Senior Assistant</v>
          </cell>
          <cell r="H4"/>
          <cell r="J4"/>
        </row>
        <row r="5">
          <cell r="A5" t="str">
            <v>NQ-001</v>
          </cell>
          <cell r="B5" t="str">
            <v>Naib Quasid</v>
          </cell>
          <cell r="C5" t="str">
            <v>PEC Office _ PEC Office</v>
          </cell>
          <cell r="D5" t="e">
            <v>#REF!</v>
          </cell>
          <cell r="E5" t="str">
            <v>Lal Muhammad</v>
          </cell>
          <cell r="F5">
            <v>5</v>
          </cell>
          <cell r="G5" t="str">
            <v>Naib Quasid</v>
          </cell>
          <cell r="H5">
            <v>2</v>
          </cell>
          <cell r="I5">
            <v>0.68</v>
          </cell>
          <cell r="J5" t="str">
            <v>Listened attentively to all lectures. Actively participated in group discussions and activities</v>
          </cell>
        </row>
        <row r="6">
          <cell r="A6" t="str">
            <v>NQ-002</v>
          </cell>
          <cell r="B6" t="str">
            <v>Naib Quasid</v>
          </cell>
          <cell r="C6" t="str">
            <v>PEC Office _ PEC Office</v>
          </cell>
          <cell r="D6" t="e">
            <v>#REF!</v>
          </cell>
          <cell r="E6" t="str">
            <v>Sajjad Khan</v>
          </cell>
          <cell r="F6">
            <v>4</v>
          </cell>
          <cell r="G6" t="str">
            <v>Naib Quasid</v>
          </cell>
          <cell r="H6">
            <v>1</v>
          </cell>
          <cell r="I6">
            <v>0.77</v>
          </cell>
          <cell r="J6" t="str">
            <v>Listened attentively to all lectures. Actively participated in all group discussions and activities.</v>
          </cell>
        </row>
        <row r="7">
          <cell r="A7" t="str">
            <v>NQ-003</v>
          </cell>
          <cell r="B7" t="str">
            <v>Naib Quasid</v>
          </cell>
          <cell r="C7" t="str">
            <v>JPEC (Admn) Office _ PEC Office</v>
          </cell>
          <cell r="D7" t="e">
            <v>#REF!</v>
          </cell>
          <cell r="E7" t="str">
            <v>Muhammad Kashif</v>
          </cell>
          <cell r="F7">
            <v>4</v>
          </cell>
          <cell r="G7" t="str">
            <v>Naib Quasid</v>
          </cell>
          <cell r="H7">
            <v>2</v>
          </cell>
          <cell r="I7">
            <v>0.5</v>
          </cell>
          <cell r="J7" t="str">
            <v>Participation was average. Concepts were not clear to him. Hesitant in group discussions and activities.</v>
          </cell>
        </row>
        <row r="8">
          <cell r="A8" t="str">
            <v>SPA-008</v>
          </cell>
          <cell r="B8" t="str">
            <v xml:space="preserve">Senior Personal Assistant </v>
          </cell>
          <cell r="C8" t="str">
            <v>PEC Office _ PEC Office</v>
          </cell>
          <cell r="D8" t="e">
            <v>#REF!</v>
          </cell>
          <cell r="E8" t="str">
            <v>Abdul Waqar</v>
          </cell>
          <cell r="F8">
            <v>16</v>
          </cell>
          <cell r="G8" t="str">
            <v xml:space="preserve">Senior Personal Assistant </v>
          </cell>
          <cell r="H8">
            <v>3</v>
          </cell>
          <cell r="I8">
            <v>0.72</v>
          </cell>
          <cell r="J8" t="str">
            <v>Participated actively in group discussion as well as in group activities</v>
          </cell>
        </row>
        <row r="9">
          <cell r="A9" t="str">
            <v>SPA-003</v>
          </cell>
          <cell r="B9" t="str">
            <v xml:space="preserve">Senior Personal Assistant </v>
          </cell>
          <cell r="C9" t="str">
            <v>JPEC (Election) Office _ PEC Office</v>
          </cell>
          <cell r="D9" t="e">
            <v>#REF!</v>
          </cell>
          <cell r="E9" t="str">
            <v>Qalandar Bux</v>
          </cell>
          <cell r="F9">
            <v>16</v>
          </cell>
          <cell r="G9" t="str">
            <v xml:space="preserve">Senior Personal Assistant </v>
          </cell>
          <cell r="H9">
            <v>3</v>
          </cell>
          <cell r="I9">
            <v>0.75</v>
          </cell>
          <cell r="J9" t="str">
            <v>Conceptswell has already cleared to him activly participated in group discessions as well as group activities.</v>
          </cell>
        </row>
        <row r="10">
          <cell r="A10" t="str">
            <v>NQ-004</v>
          </cell>
          <cell r="B10" t="str">
            <v>Naib Quasid</v>
          </cell>
          <cell r="C10" t="str">
            <v>Establishment Branch _ PEC Office</v>
          </cell>
          <cell r="D10" t="e">
            <v>#REF!</v>
          </cell>
          <cell r="E10" t="str">
            <v>Saad</v>
          </cell>
          <cell r="F10">
            <v>2</v>
          </cell>
          <cell r="G10" t="str">
            <v>Naib Quasid</v>
          </cell>
          <cell r="H10">
            <v>2</v>
          </cell>
          <cell r="I10">
            <v>0.7</v>
          </cell>
          <cell r="J10" t="str">
            <v xml:space="preserve">Attentively listened to all lectures. actively participated in all activities </v>
          </cell>
        </row>
        <row r="11">
          <cell r="A11" t="str">
            <v>JPA-001</v>
          </cell>
          <cell r="B11" t="str">
            <v>Junior Personal Assistant</v>
          </cell>
          <cell r="C11" t="str">
            <v>Admn Branch _ PEC Office</v>
          </cell>
          <cell r="D11" t="e">
            <v>#REF!</v>
          </cell>
          <cell r="E11" t="str">
            <v>Saifullah Channar</v>
          </cell>
          <cell r="F11">
            <v>15</v>
          </cell>
          <cell r="G11" t="str">
            <v>Junior Personal Assistant</v>
          </cell>
          <cell r="H11">
            <v>3</v>
          </cell>
          <cell r="I11">
            <v>0.68</v>
          </cell>
          <cell r="J11" t="str">
            <v>Attentively listened to all lectures. Actively participated in all group discussions as well as in all activities.</v>
          </cell>
        </row>
        <row r="12">
          <cell r="A12" t="str">
            <v>NQ-005</v>
          </cell>
          <cell r="B12" t="str">
            <v>Naib Quasid</v>
          </cell>
          <cell r="C12" t="str">
            <v>JPEC (Election) Office _ PEC Office</v>
          </cell>
          <cell r="D12" t="e">
            <v>#REF!</v>
          </cell>
          <cell r="E12" t="str">
            <v>Muhammad Yawar</v>
          </cell>
          <cell r="F12">
            <v>4</v>
          </cell>
          <cell r="G12" t="str">
            <v>Naib Quasid</v>
          </cell>
          <cell r="H12">
            <v>1</v>
          </cell>
          <cell r="I12">
            <v>0.64</v>
          </cell>
          <cell r="J12" t="str">
            <v>After training, concepts of gender &amp; sex cleared to him. Participating in group activities was satisfactory.</v>
          </cell>
        </row>
        <row r="13">
          <cell r="A13" t="str">
            <v>NQ-006</v>
          </cell>
          <cell r="B13" t="str">
            <v>Naib Quasid</v>
          </cell>
          <cell r="C13" t="str">
            <v>Director (Elections) Office _ PEC Office</v>
          </cell>
          <cell r="D13" t="e">
            <v>#REF!</v>
          </cell>
          <cell r="E13" t="str">
            <v>Muhammad Arif</v>
          </cell>
          <cell r="F13">
            <v>5</v>
          </cell>
          <cell r="G13" t="str">
            <v>Naib Quasid</v>
          </cell>
          <cell r="H13">
            <v>1</v>
          </cell>
          <cell r="I13">
            <v>0.52</v>
          </cell>
          <cell r="J13" t="str">
            <v>Concepts of gender &amp; sex were not clear to him. However, after training, he became able to respond and participate in group activities, which was average.</v>
          </cell>
        </row>
        <row r="14">
          <cell r="A14" t="str">
            <v>JA-025</v>
          </cell>
          <cell r="B14" t="e">
            <v>#N/A</v>
          </cell>
          <cell r="C14" t="e">
            <v>#N/A</v>
          </cell>
          <cell r="D14" t="e">
            <v>#REF!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J14"/>
        </row>
        <row r="15">
          <cell r="A15" t="str">
            <v>SA-002</v>
          </cell>
          <cell r="B15" t="str">
            <v>Senior Assistant</v>
          </cell>
          <cell r="C15" t="str">
            <v>Admn Branch _ PEC Office</v>
          </cell>
          <cell r="D15" t="e">
            <v>#REF!</v>
          </cell>
          <cell r="E15" t="str">
            <v>Abid Ali</v>
          </cell>
          <cell r="F15">
            <v>16</v>
          </cell>
          <cell r="G15" t="str">
            <v>Senior Assistant</v>
          </cell>
          <cell r="H15">
            <v>3</v>
          </cell>
          <cell r="I15">
            <v>0.77</v>
          </cell>
          <cell r="J15" t="str">
            <v>Actively participated in all group activities.</v>
          </cell>
        </row>
        <row r="16">
          <cell r="A16" t="str">
            <v>DEO-001</v>
          </cell>
          <cell r="B16" t="str">
            <v xml:space="preserve">Data Entry Operator </v>
          </cell>
          <cell r="C16" t="str">
            <v>Admn Branch _ PEC Office</v>
          </cell>
          <cell r="D16" t="e">
            <v>#REF!</v>
          </cell>
          <cell r="E16" t="str">
            <v>Vacant</v>
          </cell>
          <cell r="F16">
            <v>14</v>
          </cell>
          <cell r="G16" t="str">
            <v xml:space="preserve">Data Entry Operator </v>
          </cell>
          <cell r="H16"/>
          <cell r="J16"/>
        </row>
        <row r="17">
          <cell r="A17" t="str">
            <v>JA-001</v>
          </cell>
          <cell r="B17" t="str">
            <v>Junior Assistant</v>
          </cell>
          <cell r="C17" t="str">
            <v>Admn Branch _ PEC Office</v>
          </cell>
          <cell r="D17" t="e">
            <v>#REF!</v>
          </cell>
          <cell r="E17" t="str">
            <v>Shahid Ashfaq</v>
          </cell>
          <cell r="F17">
            <v>13</v>
          </cell>
          <cell r="G17" t="str">
            <v>Junior Assistant</v>
          </cell>
          <cell r="H17">
            <v>1</v>
          </cell>
          <cell r="I17">
            <v>0.79</v>
          </cell>
          <cell r="J17" t="str">
            <v>Very actively participate in all group discussions and activities. performance was very good.</v>
          </cell>
        </row>
        <row r="18">
          <cell r="A18" t="str">
            <v>JA-002</v>
          </cell>
          <cell r="B18" t="str">
            <v>Junior Assistant</v>
          </cell>
          <cell r="C18" t="str">
            <v>Admn Branch _ PEC Office</v>
          </cell>
          <cell r="D18" t="e">
            <v>#REF!</v>
          </cell>
          <cell r="E18" t="str">
            <v>Javed Ali</v>
          </cell>
          <cell r="F18">
            <v>13</v>
          </cell>
          <cell r="G18" t="str">
            <v>Junior Assistant</v>
          </cell>
          <cell r="H18">
            <v>3</v>
          </cell>
          <cell r="I18">
            <v>0.63</v>
          </cell>
          <cell r="J18" t="str">
            <v>Overall, participation was satisfactory.</v>
          </cell>
        </row>
        <row r="19">
          <cell r="A19" t="str">
            <v>SUB-001</v>
          </cell>
          <cell r="B19" t="str">
            <v>Sub Assistant</v>
          </cell>
          <cell r="C19" t="str">
            <v>Admn Branch _ PEC Office</v>
          </cell>
          <cell r="D19" t="e">
            <v>#REF!</v>
          </cell>
          <cell r="E19" t="str">
            <v>Soha</v>
          </cell>
          <cell r="F19">
            <v>11</v>
          </cell>
          <cell r="G19" t="str">
            <v>Sub Assistant</v>
          </cell>
          <cell r="H19">
            <v>3</v>
          </cell>
          <cell r="I19">
            <v>0.75</v>
          </cell>
          <cell r="J19" t="str">
            <v>Concepts were clear to her, actively participated in all activities.</v>
          </cell>
        </row>
        <row r="20">
          <cell r="A20" t="str">
            <v>SUB-002</v>
          </cell>
          <cell r="B20" t="str">
            <v>Sub Assistant</v>
          </cell>
          <cell r="C20" t="str">
            <v>Admn Branch _ PEC Office</v>
          </cell>
          <cell r="D20" t="e">
            <v>#REF!</v>
          </cell>
          <cell r="E20" t="str">
            <v>Gul bano</v>
          </cell>
          <cell r="F20">
            <v>11</v>
          </cell>
          <cell r="G20" t="str">
            <v>Sub Assistant</v>
          </cell>
          <cell r="H20">
            <v>2</v>
          </cell>
          <cell r="I20">
            <v>0.8</v>
          </cell>
          <cell r="J20" t="str">
            <v xml:space="preserve">Concepts were clear to her. very actively participate in all group activities. </v>
          </cell>
        </row>
        <row r="21">
          <cell r="A21" t="str">
            <v>DR-001</v>
          </cell>
          <cell r="B21" t="str">
            <v>Dispatch Rider</v>
          </cell>
          <cell r="C21" t="str">
            <v>Admn Branch _ PEC Office</v>
          </cell>
          <cell r="D21" t="e">
            <v>#REF!</v>
          </cell>
          <cell r="E21" t="str">
            <v>Nabeel Ahmed</v>
          </cell>
          <cell r="F21">
            <v>7</v>
          </cell>
          <cell r="G21" t="str">
            <v>Dispatch Rider</v>
          </cell>
          <cell r="H21">
            <v>4</v>
          </cell>
          <cell r="I21">
            <v>0.78</v>
          </cell>
          <cell r="J21" t="str">
            <v>Listened attentively to all lectures. very actively particiapted in all group activities. Discussed issues with trainers. He also shared difficult situations he faced in the past at the workplace.</v>
          </cell>
        </row>
        <row r="22">
          <cell r="A22" t="str">
            <v>DR-002</v>
          </cell>
          <cell r="B22" t="str">
            <v>Dispatch Rider</v>
          </cell>
          <cell r="C22" t="str">
            <v>Admn Branch _ PEC Office</v>
          </cell>
          <cell r="D22" t="e">
            <v>#REF!</v>
          </cell>
          <cell r="E22" t="str">
            <v>Muhammad Armaghan Khan</v>
          </cell>
          <cell r="F22">
            <v>7</v>
          </cell>
          <cell r="G22" t="str">
            <v>Dispatch Rider</v>
          </cell>
          <cell r="H22">
            <v>3</v>
          </cell>
          <cell r="I22">
            <v>0.68</v>
          </cell>
          <cell r="J22" t="str">
            <v>Overall, participation was satisfactory.</v>
          </cell>
        </row>
        <row r="23">
          <cell r="A23" t="str">
            <v>DF-001</v>
          </cell>
          <cell r="B23" t="str">
            <v>Daftry</v>
          </cell>
          <cell r="C23" t="str">
            <v>Admn Branch _ PEC Office</v>
          </cell>
          <cell r="D23" t="e">
            <v>#REF!</v>
          </cell>
          <cell r="E23" t="str">
            <v xml:space="preserve">Abdul Rasheed </v>
          </cell>
          <cell r="F23">
            <v>6</v>
          </cell>
          <cell r="G23" t="str">
            <v>Daftry</v>
          </cell>
          <cell r="H23">
            <v>1</v>
          </cell>
          <cell r="I23">
            <v>0.62</v>
          </cell>
          <cell r="J23" t="str">
            <v>After training, issues were cleared to him. Attentively heard all lectures, and participate was average.</v>
          </cell>
        </row>
        <row r="24">
          <cell r="A24" t="str">
            <v>DF-002</v>
          </cell>
          <cell r="B24" t="str">
            <v>Daftry</v>
          </cell>
          <cell r="C24" t="str">
            <v>Admn Branch _ PEC Office</v>
          </cell>
          <cell r="D24" t="e">
            <v>#REF!</v>
          </cell>
          <cell r="E24" t="str">
            <v>Ali Asghar</v>
          </cell>
          <cell r="F24">
            <v>6</v>
          </cell>
          <cell r="G24" t="str">
            <v>Daftry</v>
          </cell>
          <cell r="H24">
            <v>2</v>
          </cell>
          <cell r="I24">
            <v>0.75</v>
          </cell>
          <cell r="J24" t="str">
            <v>Attentively participates in all group activities. Actively participate in all activities.</v>
          </cell>
        </row>
        <row r="25">
          <cell r="A25" t="str">
            <v>CH-001</v>
          </cell>
          <cell r="B25" t="str">
            <v>Chowkidar</v>
          </cell>
          <cell r="C25" t="str">
            <v>Admn Branch _ PEC Office</v>
          </cell>
          <cell r="D25" t="e">
            <v>#REF!</v>
          </cell>
          <cell r="E25" t="str">
            <v>Muhammad Nadeem</v>
          </cell>
          <cell r="F25">
            <v>5</v>
          </cell>
          <cell r="G25" t="str">
            <v>Chowkidar</v>
          </cell>
          <cell r="H25">
            <v>4</v>
          </cell>
          <cell r="I25">
            <v>0.62</v>
          </cell>
          <cell r="J25" t="str">
            <v>Concepts were not clear to him. However, after listening to the lectures of trainers, he was able to understand the issues.</v>
          </cell>
        </row>
        <row r="26">
          <cell r="A26" t="str">
            <v>CH-002</v>
          </cell>
          <cell r="B26" t="str">
            <v>Chowkidar</v>
          </cell>
          <cell r="C26" t="str">
            <v>Admn Branch _ PEC Office</v>
          </cell>
          <cell r="D26" t="e">
            <v>#REF!</v>
          </cell>
          <cell r="E26" t="str">
            <v>Muhammad Hassan</v>
          </cell>
          <cell r="F26">
            <v>5</v>
          </cell>
          <cell r="G26" t="str">
            <v>Chowkidar</v>
          </cell>
          <cell r="H26">
            <v>2</v>
          </cell>
          <cell r="I26">
            <v>0.68</v>
          </cell>
          <cell r="J26" t="str">
            <v>Listened attentively to all lectures. Participating in activities was average.</v>
          </cell>
        </row>
        <row r="27">
          <cell r="A27" t="str">
            <v>FAR-001</v>
          </cell>
          <cell r="B27" t="str">
            <v>Farash</v>
          </cell>
          <cell r="C27" t="str">
            <v>Admn Branch _ PEC Office</v>
          </cell>
          <cell r="D27" t="e">
            <v>#REF!</v>
          </cell>
          <cell r="E27" t="str">
            <v>Vacant</v>
          </cell>
          <cell r="F27">
            <v>5</v>
          </cell>
          <cell r="G27" t="str">
            <v>Farash</v>
          </cell>
          <cell r="H27"/>
          <cell r="J27"/>
        </row>
        <row r="28">
          <cell r="A28" t="str">
            <v>CH-003</v>
          </cell>
          <cell r="B28" t="str">
            <v>Chowkidar</v>
          </cell>
          <cell r="C28" t="str">
            <v>Admn Branch _ PEC Office</v>
          </cell>
          <cell r="D28" t="e">
            <v>#REF!</v>
          </cell>
          <cell r="E28" t="str">
            <v>Waqas Ahmad Baig</v>
          </cell>
          <cell r="F28">
            <v>4</v>
          </cell>
          <cell r="G28" t="str">
            <v>Chowkidar</v>
          </cell>
          <cell r="H28">
            <v>1</v>
          </cell>
          <cell r="I28">
            <v>0.74</v>
          </cell>
          <cell r="J28" t="str">
            <v>concepts were clear to him. actively participated in all group activities and discussions.</v>
          </cell>
        </row>
        <row r="29">
          <cell r="A29" t="str">
            <v>CH-004</v>
          </cell>
          <cell r="B29" t="str">
            <v>Chowkidar</v>
          </cell>
          <cell r="C29" t="str">
            <v>Admn Branch _ PEC Office</v>
          </cell>
          <cell r="D29" t="e">
            <v>#REF!</v>
          </cell>
          <cell r="E29" t="str">
            <v>Shahid Jabbar</v>
          </cell>
          <cell r="F29">
            <v>4</v>
          </cell>
          <cell r="G29" t="str">
            <v>Chowkidar</v>
          </cell>
          <cell r="H29">
            <v>1</v>
          </cell>
          <cell r="I29">
            <v>0.5</v>
          </cell>
          <cell r="J29" t="str">
            <v>The concepts were not clear. However, after training. Participate in group discussion &amp; activities was not up to mark.</v>
          </cell>
        </row>
        <row r="30">
          <cell r="A30" t="str">
            <v>CH-005</v>
          </cell>
          <cell r="B30" t="str">
            <v>Chowkidar</v>
          </cell>
          <cell r="C30" t="str">
            <v>Admn Branch _ PEC Office</v>
          </cell>
          <cell r="D30" t="e">
            <v>#REF!</v>
          </cell>
          <cell r="E30" t="str">
            <v>Sadiq Iqbal (Attached with GS Branch)</v>
          </cell>
          <cell r="F30">
            <v>4</v>
          </cell>
          <cell r="G30" t="str">
            <v>Chowkidar</v>
          </cell>
          <cell r="H30">
            <v>4</v>
          </cell>
          <cell r="I30">
            <v>0.68</v>
          </cell>
          <cell r="J30" t="str">
            <v>concepts were not clear to him. However, after listening to the lectures of trainers, he was able to understand the issues.</v>
          </cell>
        </row>
        <row r="31">
          <cell r="A31" t="str">
            <v>CH-006</v>
          </cell>
          <cell r="B31" t="str">
            <v>Chowkidar</v>
          </cell>
          <cell r="C31" t="str">
            <v>Admn Branch _ PEC Office</v>
          </cell>
          <cell r="D31" t="e">
            <v>#REF!</v>
          </cell>
          <cell r="E31" t="str">
            <v>Muhammad Kamran</v>
          </cell>
          <cell r="F31">
            <v>4</v>
          </cell>
          <cell r="G31" t="str">
            <v>Chowkidar</v>
          </cell>
          <cell r="H31">
            <v>4</v>
          </cell>
          <cell r="I31">
            <v>0.6</v>
          </cell>
          <cell r="J31" t="str">
            <v>Participated in all activities with interest. Attentively listened to lectures &amp; discussions on Harassment issues.</v>
          </cell>
        </row>
        <row r="32">
          <cell r="A32" t="str">
            <v>CH-007</v>
          </cell>
          <cell r="B32" t="str">
            <v>Chowkidar</v>
          </cell>
          <cell r="C32" t="str">
            <v>Admn Branch _ PEC Office</v>
          </cell>
          <cell r="D32" t="e">
            <v>#REF!</v>
          </cell>
          <cell r="E32" t="str">
            <v>Sher Ali</v>
          </cell>
          <cell r="F32">
            <v>4</v>
          </cell>
          <cell r="G32" t="str">
            <v>Chowkidar</v>
          </cell>
          <cell r="H32">
            <v>3</v>
          </cell>
          <cell r="I32">
            <v>0.7</v>
          </cell>
          <cell r="J32" t="str">
            <v>Overall, participation was satisfactory.</v>
          </cell>
        </row>
        <row r="33">
          <cell r="A33" t="str">
            <v>CH-008</v>
          </cell>
          <cell r="B33" t="str">
            <v>Chowkidar</v>
          </cell>
          <cell r="C33" t="str">
            <v>Admn Branch _ PEC Office</v>
          </cell>
          <cell r="D33" t="e">
            <v>#REF!</v>
          </cell>
          <cell r="E33" t="str">
            <v>Abdul Rahim</v>
          </cell>
          <cell r="F33">
            <v>4</v>
          </cell>
          <cell r="G33" t="str">
            <v>Chowkidar</v>
          </cell>
          <cell r="H33">
            <v>3</v>
          </cell>
          <cell r="I33">
            <v>0.62</v>
          </cell>
          <cell r="J33" t="str">
            <v>Overall, participation was satisfactory.</v>
          </cell>
        </row>
        <row r="34">
          <cell r="A34" t="str">
            <v>MA-001</v>
          </cell>
          <cell r="B34" t="str">
            <v>Mali</v>
          </cell>
          <cell r="C34" t="str">
            <v>Admn Branch _ PEC Office</v>
          </cell>
          <cell r="D34" t="e">
            <v>#REF!</v>
          </cell>
          <cell r="E34" t="str">
            <v>Muhammad Haris</v>
          </cell>
          <cell r="F34">
            <v>4</v>
          </cell>
          <cell r="G34" t="str">
            <v>Mali</v>
          </cell>
          <cell r="H34">
            <v>1</v>
          </cell>
          <cell r="I34">
            <v>0.67</v>
          </cell>
          <cell r="J34" t="str">
            <v>attentively heard all lectures. After the lectures, the concept became clear to him. participate was average.</v>
          </cell>
        </row>
        <row r="35">
          <cell r="A35" t="str">
            <v>MA-002</v>
          </cell>
          <cell r="B35" t="str">
            <v>Mali</v>
          </cell>
          <cell r="C35" t="str">
            <v>Admn Branch _ PEC Office</v>
          </cell>
          <cell r="D35" t="e">
            <v>#REF!</v>
          </cell>
          <cell r="E35" t="str">
            <v>Kashif Khan</v>
          </cell>
          <cell r="F35">
            <v>4</v>
          </cell>
          <cell r="G35" t="str">
            <v>Mali</v>
          </cell>
          <cell r="H35">
            <v>2</v>
          </cell>
          <cell r="I35">
            <v>0.75</v>
          </cell>
          <cell r="J35" t="str">
            <v>Listened very carefully to all lectures. Actively participated in all group discussions and activities.</v>
          </cell>
        </row>
        <row r="36">
          <cell r="A36" t="str">
            <v>NQ-007</v>
          </cell>
          <cell r="B36" t="str">
            <v>Naib Quasid</v>
          </cell>
          <cell r="C36" t="str">
            <v>Admn Branch _ PEC Office</v>
          </cell>
          <cell r="D36" t="e">
            <v>#REF!</v>
          </cell>
          <cell r="E36" t="str">
            <v>Faheem Ali Khan</v>
          </cell>
          <cell r="F36">
            <v>4</v>
          </cell>
          <cell r="G36" t="str">
            <v>Naib Quasid</v>
          </cell>
          <cell r="H36">
            <v>3</v>
          </cell>
          <cell r="I36">
            <v>0.57999999999999996</v>
          </cell>
          <cell r="J36" t="str">
            <v>Overall, participation was good</v>
          </cell>
        </row>
        <row r="37">
          <cell r="A37" t="str">
            <v>NQ-008</v>
          </cell>
          <cell r="B37" t="str">
            <v>Naib Quasid</v>
          </cell>
          <cell r="C37" t="str">
            <v>Admn Branch _ PEC Office</v>
          </cell>
          <cell r="D37" t="e">
            <v>#REF!</v>
          </cell>
          <cell r="E37" t="str">
            <v>Matloob Hussain</v>
          </cell>
          <cell r="F37">
            <v>4</v>
          </cell>
          <cell r="G37" t="str">
            <v>Naib Quasid</v>
          </cell>
          <cell r="H37">
            <v>4</v>
          </cell>
          <cell r="I37">
            <v>0.7</v>
          </cell>
          <cell r="J37" t="str">
            <v>Listened carefully to all lectures. Actively participated in all group activities.</v>
          </cell>
        </row>
        <row r="38">
          <cell r="A38" t="str">
            <v>NQ-009</v>
          </cell>
          <cell r="B38" t="str">
            <v>Naib Quasid</v>
          </cell>
          <cell r="C38" t="str">
            <v>DD (Development) Office _ PEC Office</v>
          </cell>
          <cell r="D38" t="e">
            <v>#REF!</v>
          </cell>
          <cell r="E38" t="str">
            <v>Waqas S/o Qamar Uddin</v>
          </cell>
          <cell r="F38">
            <v>4</v>
          </cell>
          <cell r="G38" t="str">
            <v>Naib Quasid</v>
          </cell>
          <cell r="H38">
            <v>3</v>
          </cell>
          <cell r="I38">
            <v>0.72</v>
          </cell>
          <cell r="J38" t="str">
            <v>Actively participated in all activities.</v>
          </cell>
        </row>
        <row r="39">
          <cell r="A39" t="str">
            <v>SW-001</v>
          </cell>
          <cell r="B39" t="str">
            <v xml:space="preserve">Sweeper </v>
          </cell>
          <cell r="C39" t="str">
            <v>Admn Branch _ PEC Office</v>
          </cell>
          <cell r="D39" t="e">
            <v>#REF!</v>
          </cell>
          <cell r="E39" t="str">
            <v>Jonathan</v>
          </cell>
          <cell r="F39">
            <v>4</v>
          </cell>
          <cell r="G39" t="str">
            <v xml:space="preserve">Sweeper </v>
          </cell>
          <cell r="H39">
            <v>1</v>
          </cell>
          <cell r="I39">
            <v>0.62</v>
          </cell>
          <cell r="J39" t="str">
            <v>After training, the concepts were clear to him. attentively heard lectures. Participating in group activities was satisfactory.</v>
          </cell>
        </row>
        <row r="40">
          <cell r="A40" t="str">
            <v>SW-002</v>
          </cell>
          <cell r="B40" t="str">
            <v xml:space="preserve">Sweeper </v>
          </cell>
          <cell r="C40" t="str">
            <v>Admn Branch _ PEC Office</v>
          </cell>
          <cell r="D40" t="e">
            <v>#REF!</v>
          </cell>
          <cell r="E40" t="str">
            <v>Sunny</v>
          </cell>
          <cell r="F40">
            <v>4</v>
          </cell>
          <cell r="G40" t="str">
            <v xml:space="preserve">Sweeper </v>
          </cell>
          <cell r="H40">
            <v>3</v>
          </cell>
          <cell r="I40">
            <v>0.73</v>
          </cell>
          <cell r="J40" t="str">
            <v>Actively participated in all activities&amp; overall participation was excellent.</v>
          </cell>
        </row>
        <row r="41">
          <cell r="A41" t="str">
            <v>NQ-010</v>
          </cell>
          <cell r="B41" t="str">
            <v>Naib Quasid</v>
          </cell>
          <cell r="C41" t="str">
            <v>Director (Admn) Office _ PEC Office</v>
          </cell>
          <cell r="D41" t="e">
            <v>#REF!</v>
          </cell>
          <cell r="E41" t="str">
            <v>Ali Asghar</v>
          </cell>
          <cell r="F41">
            <v>2</v>
          </cell>
          <cell r="G41" t="str">
            <v>Naib Quasid</v>
          </cell>
          <cell r="H41">
            <v>3</v>
          </cell>
          <cell r="I41">
            <v>0.65</v>
          </cell>
          <cell r="J41" t="str">
            <v>Overall participation was satisfactory.</v>
          </cell>
        </row>
        <row r="42">
          <cell r="A42" t="str">
            <v>SW-003</v>
          </cell>
          <cell r="B42" t="str">
            <v xml:space="preserve">Sweeper </v>
          </cell>
          <cell r="C42" t="str">
            <v>Admn Branch _ PEC Office</v>
          </cell>
          <cell r="D42" t="e">
            <v>#REF!</v>
          </cell>
          <cell r="E42" t="str">
            <v>Naresh</v>
          </cell>
          <cell r="F42">
            <v>2</v>
          </cell>
          <cell r="G42" t="str">
            <v xml:space="preserve">Sweeper </v>
          </cell>
          <cell r="H42">
            <v>4</v>
          </cell>
          <cell r="I42">
            <v>0.68</v>
          </cell>
          <cell r="J42" t="str">
            <v>Attended training with interest. Concepts were not clear to him. However, after listening to lectures, he was able to understand the issue.</v>
          </cell>
        </row>
        <row r="43">
          <cell r="A43" t="str">
            <v>SW-004</v>
          </cell>
          <cell r="B43" t="str">
            <v xml:space="preserve">Sweeper </v>
          </cell>
          <cell r="C43" t="str">
            <v>Admn Branch _ PEC Office</v>
          </cell>
          <cell r="D43" t="e">
            <v>#REF!</v>
          </cell>
          <cell r="E43" t="str">
            <v>Petar</v>
          </cell>
          <cell r="F43">
            <v>2</v>
          </cell>
          <cell r="G43" t="str">
            <v xml:space="preserve">Sweeper </v>
          </cell>
          <cell r="H43">
            <v>2</v>
          </cell>
          <cell r="I43">
            <v>0.7</v>
          </cell>
          <cell r="J43" t="str">
            <v>Listened attentively to all lectures. Actively participate in group activities.</v>
          </cell>
        </row>
        <row r="44">
          <cell r="A44" t="str">
            <v>NQ-013</v>
          </cell>
          <cell r="B44" t="str">
            <v>Naib Quasid</v>
          </cell>
          <cell r="C44" t="str">
            <v>LGE Branch _ PEC Office</v>
          </cell>
          <cell r="D44" t="e">
            <v>#REF!</v>
          </cell>
          <cell r="E44" t="str">
            <v xml:space="preserve">Iqra Naseer </v>
          </cell>
          <cell r="F44">
            <v>2</v>
          </cell>
          <cell r="G44" t="str">
            <v>Naib Quasid</v>
          </cell>
          <cell r="H44">
            <v>1</v>
          </cell>
          <cell r="I44">
            <v>0.79</v>
          </cell>
          <cell r="J44" t="str">
            <v>Concepts were clear to her. very actively participate in group activities and discussions. very attentively listened to all lectures</v>
          </cell>
        </row>
        <row r="45">
          <cell r="A45" t="str">
            <v>JA-003</v>
          </cell>
          <cell r="B45" t="str">
            <v>Junior Assistant</v>
          </cell>
          <cell r="C45" t="str">
            <v>R &amp; I Branch _ PEC Office</v>
          </cell>
          <cell r="D45" t="e">
            <v>#REF!</v>
          </cell>
          <cell r="E45" t="str">
            <v>Aftab Alam</v>
          </cell>
          <cell r="F45">
            <v>13</v>
          </cell>
          <cell r="G45" t="str">
            <v>Junior Assistant</v>
          </cell>
          <cell r="H45"/>
          <cell r="J45"/>
        </row>
        <row r="46">
          <cell r="A46" t="str">
            <v>SUB-004</v>
          </cell>
          <cell r="B46" t="str">
            <v>Sub Assistant</v>
          </cell>
          <cell r="C46" t="str">
            <v>R &amp; I Branch _ PEC Office</v>
          </cell>
          <cell r="D46" t="e">
            <v>#REF!</v>
          </cell>
          <cell r="E46" t="str">
            <v>Muhammad Shahzad</v>
          </cell>
          <cell r="F46">
            <v>11</v>
          </cell>
          <cell r="G46" t="str">
            <v>Sub Assistant</v>
          </cell>
          <cell r="H46">
            <v>3</v>
          </cell>
          <cell r="I46">
            <v>0.63</v>
          </cell>
          <cell r="J46" t="str">
            <v>Overall, participation was satisfactory.</v>
          </cell>
        </row>
        <row r="47">
          <cell r="A47" t="str">
            <v>SUB-005</v>
          </cell>
          <cell r="B47" t="str">
            <v>Sub Assistant</v>
          </cell>
          <cell r="C47" t="str">
            <v>R &amp; I Branch _ PEC Office</v>
          </cell>
          <cell r="D47" t="e">
            <v>#REF!</v>
          </cell>
          <cell r="E47" t="str">
            <v>Muhammad Asif</v>
          </cell>
          <cell r="F47">
            <v>11</v>
          </cell>
          <cell r="G47" t="str">
            <v>Sub Assistant</v>
          </cell>
          <cell r="H47">
            <v>1</v>
          </cell>
          <cell r="I47">
            <v>0.73</v>
          </cell>
          <cell r="J47" t="str">
            <v>Concepts were clear to him. Actively participated in group discussions &amp; activities.</v>
          </cell>
        </row>
        <row r="48">
          <cell r="A48" t="str">
            <v>SUB-010</v>
          </cell>
          <cell r="B48" t="str">
            <v>Sub Assistant</v>
          </cell>
          <cell r="C48" t="str">
            <v>R &amp; I Branch _ PEC Office</v>
          </cell>
          <cell r="D48" t="e">
            <v>#REF!</v>
          </cell>
          <cell r="E48" t="str">
            <v>Furqan Ahmed Qureshi</v>
          </cell>
          <cell r="F48">
            <v>11</v>
          </cell>
          <cell r="G48" t="str">
            <v>Sub Assistant</v>
          </cell>
          <cell r="H48"/>
          <cell r="J48"/>
        </row>
        <row r="49">
          <cell r="A49" t="str">
            <v>JA-004</v>
          </cell>
          <cell r="B49" t="str">
            <v>Junior Assistant</v>
          </cell>
          <cell r="C49" t="str">
            <v>Transport Branch _ PEC Office</v>
          </cell>
          <cell r="D49" t="e">
            <v>#REF!</v>
          </cell>
          <cell r="E49" t="str">
            <v>Abdul Osama</v>
          </cell>
          <cell r="F49">
            <v>13</v>
          </cell>
          <cell r="G49" t="str">
            <v>Junior Assistant</v>
          </cell>
          <cell r="H49">
            <v>1</v>
          </cell>
          <cell r="I49">
            <v>0.75</v>
          </cell>
          <cell r="J49" t="str">
            <v>Concepts were clear to him. very actively participated in all group discussions &amp; activities.</v>
          </cell>
        </row>
        <row r="50">
          <cell r="A50" t="str">
            <v>SCD-001</v>
          </cell>
          <cell r="B50" t="str">
            <v>Staff Car Driver</v>
          </cell>
          <cell r="C50" t="str">
            <v>Transport Branch _ PEC Office</v>
          </cell>
          <cell r="D50" t="e">
            <v>#REF!</v>
          </cell>
          <cell r="E50" t="str">
            <v>Muhammad Afzal</v>
          </cell>
          <cell r="F50">
            <v>7</v>
          </cell>
          <cell r="G50" t="str">
            <v>Staff Car Driver</v>
          </cell>
          <cell r="H50">
            <v>3</v>
          </cell>
          <cell r="I50">
            <v>0.72</v>
          </cell>
          <cell r="J50" t="str">
            <v>Actively participated in all activities.</v>
          </cell>
        </row>
        <row r="51">
          <cell r="A51" t="str">
            <v>SCD-002</v>
          </cell>
          <cell r="B51" t="str">
            <v>Staff Car Driver</v>
          </cell>
          <cell r="C51" t="str">
            <v>Transport Branch _ PEC Office</v>
          </cell>
          <cell r="D51" t="e">
            <v>#REF!</v>
          </cell>
          <cell r="E51" t="str">
            <v>Naseer Masih</v>
          </cell>
          <cell r="F51">
            <v>7</v>
          </cell>
          <cell r="G51" t="str">
            <v>Staff Car Driver</v>
          </cell>
          <cell r="H51">
            <v>1</v>
          </cell>
          <cell r="I51">
            <v>0.62</v>
          </cell>
          <cell r="J51" t="str">
            <v>After training, he became able to understand the issue. Participation was average.</v>
          </cell>
        </row>
        <row r="52">
          <cell r="A52" t="str">
            <v>SCD-003</v>
          </cell>
          <cell r="B52" t="str">
            <v>Staff Car Driver</v>
          </cell>
          <cell r="C52" t="str">
            <v>Transport Branch _ PEC Office</v>
          </cell>
          <cell r="D52" t="e">
            <v>#REF!</v>
          </cell>
          <cell r="E52" t="str">
            <v>Vacant</v>
          </cell>
          <cell r="F52">
            <v>5</v>
          </cell>
          <cell r="G52" t="str">
            <v>Staff Car Driver</v>
          </cell>
          <cell r="H52"/>
          <cell r="J52"/>
        </row>
        <row r="53">
          <cell r="A53" t="str">
            <v>SCD-004</v>
          </cell>
          <cell r="B53" t="str">
            <v>Staff Car Driver</v>
          </cell>
          <cell r="C53" t="str">
            <v>Transport Branch _ PEC Office</v>
          </cell>
          <cell r="D53" t="e">
            <v>#REF!</v>
          </cell>
          <cell r="E53" t="str">
            <v>Bilawal</v>
          </cell>
          <cell r="F53">
            <v>5</v>
          </cell>
          <cell r="G53" t="str">
            <v>Staff Car Driver</v>
          </cell>
          <cell r="H53">
            <v>3</v>
          </cell>
          <cell r="I53">
            <v>0.63</v>
          </cell>
          <cell r="J53" t="str">
            <v>Overall, participation was satisfactory.</v>
          </cell>
        </row>
        <row r="54">
          <cell r="A54" t="str">
            <v>SCD-005</v>
          </cell>
          <cell r="B54" t="str">
            <v>Staff Car Driver</v>
          </cell>
          <cell r="C54" t="str">
            <v>Transport Branch _ PEC Office</v>
          </cell>
          <cell r="D54" t="e">
            <v>#REF!</v>
          </cell>
          <cell r="E54" t="str">
            <v>Vacant</v>
          </cell>
          <cell r="F54">
            <v>5</v>
          </cell>
          <cell r="G54" t="str">
            <v>Staff Car Driver</v>
          </cell>
          <cell r="H54"/>
          <cell r="J54"/>
        </row>
        <row r="55">
          <cell r="A55" t="str">
            <v>SUB-012</v>
          </cell>
          <cell r="B55" t="str">
            <v>Sub Assistant</v>
          </cell>
          <cell r="C55" t="str">
            <v>DD (Accounts) Office _ PEC Office</v>
          </cell>
          <cell r="D55" t="e">
            <v>#REF!</v>
          </cell>
          <cell r="E55" t="str">
            <v>Vacant</v>
          </cell>
          <cell r="F55">
            <v>11</v>
          </cell>
          <cell r="G55" t="str">
            <v>Sub Assistant</v>
          </cell>
          <cell r="H55"/>
          <cell r="J55"/>
        </row>
        <row r="56">
          <cell r="A56" t="str">
            <v>JA-005</v>
          </cell>
          <cell r="B56" t="str">
            <v>Junior Assistant</v>
          </cell>
          <cell r="C56" t="str">
            <v>Cash Branch _ PEC Office</v>
          </cell>
          <cell r="D56" t="e">
            <v>#REF!</v>
          </cell>
          <cell r="E56" t="str">
            <v>Shahzad Ahmed Qureshi</v>
          </cell>
          <cell r="F56">
            <v>13</v>
          </cell>
          <cell r="G56" t="str">
            <v>Junior Assistant</v>
          </cell>
          <cell r="H56">
            <v>4</v>
          </cell>
          <cell r="I56">
            <v>0.73</v>
          </cell>
          <cell r="J56" t="str">
            <v>Very actively participated in all activities. Discussed issues of Harassment with the group as well as with trainers. Also narrated his issue of harassment.</v>
          </cell>
        </row>
        <row r="57">
          <cell r="A57" t="str">
            <v>SUB-007</v>
          </cell>
          <cell r="B57" t="str">
            <v>Sub Assistant</v>
          </cell>
          <cell r="C57" t="str">
            <v>Cash Branch _ PEC Office</v>
          </cell>
          <cell r="D57" t="e">
            <v>#REF!</v>
          </cell>
          <cell r="E57" t="str">
            <v>Muhammad Zeeshan</v>
          </cell>
          <cell r="F57">
            <v>11</v>
          </cell>
          <cell r="G57" t="str">
            <v>Sub Assistant</v>
          </cell>
          <cell r="H57">
            <v>4</v>
          </cell>
          <cell r="I57">
            <v>0.74</v>
          </cell>
          <cell r="J57" t="str">
            <v>Took interest in all activities/sessions. Actively participated in discussions.</v>
          </cell>
        </row>
        <row r="58">
          <cell r="A58" t="str">
            <v>NQ-073</v>
          </cell>
          <cell r="B58" t="str">
            <v>Naib Quasid</v>
          </cell>
          <cell r="C58" t="str">
            <v>Protocol Branch _ PEC Office</v>
          </cell>
          <cell r="D58" t="e">
            <v>#REF!</v>
          </cell>
          <cell r="E58" t="str">
            <v>Feroze Ahmed</v>
          </cell>
          <cell r="F58">
            <v>2</v>
          </cell>
          <cell r="G58" t="str">
            <v>Naib Quasid</v>
          </cell>
          <cell r="H58">
            <v>2</v>
          </cell>
          <cell r="I58">
            <v>0.63</v>
          </cell>
          <cell r="J58" t="str">
            <v>Concepts were clear to him. Participating in group activities was average.</v>
          </cell>
        </row>
        <row r="59">
          <cell r="A59" t="str">
            <v>JPA-002</v>
          </cell>
          <cell r="B59" t="str">
            <v>Junior Personal Assistant</v>
          </cell>
          <cell r="C59" t="str">
            <v>Establishment Branch _ PEC Office</v>
          </cell>
          <cell r="D59" t="e">
            <v>#REF!</v>
          </cell>
          <cell r="E59" t="str">
            <v>Shafi Muhammad</v>
          </cell>
          <cell r="F59">
            <v>15</v>
          </cell>
          <cell r="G59" t="str">
            <v>Junior Personal Assistant</v>
          </cell>
          <cell r="H59">
            <v>4</v>
          </cell>
          <cell r="I59">
            <v>0.83</v>
          </cell>
          <cell r="J59" t="str">
            <v>Very actively participated in all group activities. Took keep interest in Harassment act 2010. Discussed key issues with trainers.</v>
          </cell>
        </row>
        <row r="60">
          <cell r="A60" t="str">
            <v>SA-003</v>
          </cell>
          <cell r="B60" t="str">
            <v>Senior Assistant</v>
          </cell>
          <cell r="C60" t="str">
            <v>Establishment Branch _ PEC Office</v>
          </cell>
          <cell r="D60" t="e">
            <v>#REF!</v>
          </cell>
          <cell r="E60" t="str">
            <v>Hafiz Mujeeb ur Rehman</v>
          </cell>
          <cell r="F60">
            <v>16</v>
          </cell>
          <cell r="G60" t="str">
            <v>Senior Assistant</v>
          </cell>
          <cell r="H60">
            <v>3</v>
          </cell>
          <cell r="I60">
            <v>0.78</v>
          </cell>
          <cell r="J60" t="str">
            <v>Attentively listened to all sessions and participated actively in all activities.</v>
          </cell>
        </row>
        <row r="61">
          <cell r="A61" t="str">
            <v>DEO-004</v>
          </cell>
          <cell r="B61" t="str">
            <v xml:space="preserve">Data Entry Operator </v>
          </cell>
          <cell r="C61" t="str">
            <v>Establishment Branch _ PEC Office</v>
          </cell>
          <cell r="D61" t="e">
            <v>#REF!</v>
          </cell>
          <cell r="E61" t="str">
            <v>Osama Ghaffar</v>
          </cell>
          <cell r="F61">
            <v>15</v>
          </cell>
          <cell r="G61" t="str">
            <v xml:space="preserve">Data Entry Operator </v>
          </cell>
          <cell r="H61">
            <v>3</v>
          </cell>
          <cell r="I61">
            <v>0.63</v>
          </cell>
          <cell r="J61" t="str">
            <v>Actively participate in all group activities</v>
          </cell>
        </row>
        <row r="62">
          <cell r="A62" t="str">
            <v>JPA-004</v>
          </cell>
          <cell r="B62" t="str">
            <v>Junior Personal Assistant</v>
          </cell>
          <cell r="C62" t="str">
            <v>Establishment Branch _ PEC Office</v>
          </cell>
          <cell r="D62" t="e">
            <v>#REF!</v>
          </cell>
          <cell r="E62" t="str">
            <v>Mubarak Ali</v>
          </cell>
          <cell r="F62">
            <v>15</v>
          </cell>
          <cell r="G62" t="str">
            <v>Junior Personal Assistant</v>
          </cell>
          <cell r="H62">
            <v>4</v>
          </cell>
          <cell r="I62">
            <v>0.8</v>
          </cell>
          <cell r="J62" t="str">
            <v>Very actively participated in all sessions/activities. Took good interest in issues of Harassment in the workplace. Discussed some issues of Harassment with trainers.</v>
          </cell>
        </row>
        <row r="63">
          <cell r="A63" t="str">
            <v>DEO-003</v>
          </cell>
          <cell r="B63" t="str">
            <v xml:space="preserve">Data Entry Operator </v>
          </cell>
          <cell r="C63" t="str">
            <v>Establishment Branch _ PEC Office</v>
          </cell>
          <cell r="D63" t="e">
            <v>#REF!</v>
          </cell>
          <cell r="E63" t="str">
            <v>Aarifa</v>
          </cell>
          <cell r="F63">
            <v>14</v>
          </cell>
          <cell r="G63" t="str">
            <v xml:space="preserve">Data Entry Operator </v>
          </cell>
          <cell r="H63">
            <v>4</v>
          </cell>
          <cell r="I63">
            <v>0.78</v>
          </cell>
          <cell r="J63" t="str">
            <v>Participated in all activities with interest. Also discussed issues of Harassment with trainers. Concepts are well clean to her.</v>
          </cell>
        </row>
        <row r="64">
          <cell r="A64" t="str">
            <v>JA-006</v>
          </cell>
          <cell r="B64" t="str">
            <v>Junior Assistant</v>
          </cell>
          <cell r="C64" t="str">
            <v>Establishment Branch _ PEC Office</v>
          </cell>
          <cell r="D64" t="e">
            <v>#REF!</v>
          </cell>
          <cell r="E64" t="str">
            <v>Hidayatullah</v>
          </cell>
          <cell r="F64">
            <v>13</v>
          </cell>
          <cell r="G64" t="str">
            <v>Junior Assistant</v>
          </cell>
          <cell r="H64">
            <v>1</v>
          </cell>
          <cell r="I64">
            <v>0.73</v>
          </cell>
          <cell r="J64" t="str">
            <v>Concepts were clear to him. Actively participated in all group discussions &amp; activities</v>
          </cell>
        </row>
        <row r="65">
          <cell r="A65" t="str">
            <v>JA-007</v>
          </cell>
          <cell r="B65" t="str">
            <v>Junior Assistant</v>
          </cell>
          <cell r="C65" t="str">
            <v>Establishment Branch _ PEC Office</v>
          </cell>
          <cell r="D65" t="e">
            <v>#REF!</v>
          </cell>
          <cell r="E65" t="str">
            <v>Saddam Hussain</v>
          </cell>
          <cell r="F65">
            <v>13</v>
          </cell>
          <cell r="G65" t="str">
            <v>Junior Assistant</v>
          </cell>
          <cell r="H65">
            <v>1</v>
          </cell>
          <cell r="I65">
            <v>0.79</v>
          </cell>
          <cell r="J65" t="str">
            <v>Concepts were already clear to him. very actively participated in group discussions &amp; activities excellent performance.</v>
          </cell>
        </row>
        <row r="66">
          <cell r="A66" t="str">
            <v>SUB-008</v>
          </cell>
          <cell r="B66" t="str">
            <v>Sub Assistant</v>
          </cell>
          <cell r="C66" t="str">
            <v>Establishment Branch _ PEC Office</v>
          </cell>
          <cell r="D66" t="e">
            <v>#REF!</v>
          </cell>
          <cell r="E66" t="str">
            <v>Saddam Hussain</v>
          </cell>
          <cell r="F66">
            <v>11</v>
          </cell>
          <cell r="G66" t="str">
            <v>Sub Assistant</v>
          </cell>
          <cell r="H66">
            <v>2</v>
          </cell>
          <cell r="I66">
            <v>0.68</v>
          </cell>
          <cell r="J66" t="str">
            <v>Listened attentively to all lectures. Actively participate in all group activities.</v>
          </cell>
        </row>
        <row r="67">
          <cell r="A67" t="str">
            <v>NQ-012</v>
          </cell>
          <cell r="B67" t="str">
            <v>Naib Quasid</v>
          </cell>
          <cell r="C67" t="str">
            <v>MCO Branch _ PEC Office</v>
          </cell>
          <cell r="D67" t="e">
            <v>#REF!</v>
          </cell>
          <cell r="E67" t="str">
            <v>Arsalan Abbas</v>
          </cell>
          <cell r="F67">
            <v>4</v>
          </cell>
          <cell r="G67" t="str">
            <v>Naib Quasid</v>
          </cell>
          <cell r="H67">
            <v>1</v>
          </cell>
          <cell r="I67">
            <v>0.57999999999999996</v>
          </cell>
          <cell r="J67" t="str">
            <v>Concepts were clear to him. Not much active in group activities.</v>
          </cell>
        </row>
        <row r="68">
          <cell r="A68" t="str">
            <v>NQ-075</v>
          </cell>
          <cell r="B68" t="str">
            <v>Naib Quasid</v>
          </cell>
          <cell r="C68" t="str">
            <v>Establishment Branch _ PEC Office</v>
          </cell>
          <cell r="D68" t="e">
            <v>#REF!</v>
          </cell>
          <cell r="E68" t="str">
            <v>Urooj Akhtar</v>
          </cell>
          <cell r="F68">
            <v>2</v>
          </cell>
          <cell r="G68" t="str">
            <v>Naib Quasid</v>
          </cell>
          <cell r="H68">
            <v>2</v>
          </cell>
          <cell r="I68">
            <v>0.72</v>
          </cell>
          <cell r="J68" t="str">
            <v xml:space="preserve">Listened attentively to all lectures. Actively participated in all activities. </v>
          </cell>
        </row>
        <row r="69">
          <cell r="A69" t="str">
            <v>SA-004</v>
          </cell>
          <cell r="B69" t="str">
            <v>Senior Assistant</v>
          </cell>
          <cell r="C69" t="str">
            <v>Budget Branch _ PEC Office</v>
          </cell>
          <cell r="D69" t="e">
            <v>#REF!</v>
          </cell>
          <cell r="E69" t="str">
            <v>Saqib Ali</v>
          </cell>
          <cell r="F69">
            <v>16</v>
          </cell>
          <cell r="G69" t="str">
            <v>Senior Assistant</v>
          </cell>
          <cell r="H69">
            <v>4</v>
          </cell>
          <cell r="I69">
            <v>0.77</v>
          </cell>
          <cell r="J69" t="str">
            <v>Very attentively heard lectures of train</v>
          </cell>
        </row>
        <row r="70">
          <cell r="A70" t="str">
            <v>DEO-005</v>
          </cell>
          <cell r="B70" t="str">
            <v xml:space="preserve">Data Entry Operator </v>
          </cell>
          <cell r="C70" t="str">
            <v>Budget Branch _ PEC Office</v>
          </cell>
          <cell r="D70" t="e">
            <v>#REF!</v>
          </cell>
          <cell r="E70" t="str">
            <v>Abdul Maroof</v>
          </cell>
          <cell r="F70">
            <v>15</v>
          </cell>
          <cell r="G70" t="str">
            <v xml:space="preserve">Data Entry Operator </v>
          </cell>
          <cell r="H70">
            <v>2</v>
          </cell>
          <cell r="I70">
            <v>0.75</v>
          </cell>
          <cell r="J70" t="str">
            <v xml:space="preserve">Actively listened to all lectures. actively participated in all activities </v>
          </cell>
        </row>
        <row r="71">
          <cell r="A71" t="str">
            <v>JA-008</v>
          </cell>
          <cell r="B71" t="str">
            <v>Junior Assistant</v>
          </cell>
          <cell r="C71" t="str">
            <v>Budget Branch _ PEC Office</v>
          </cell>
          <cell r="D71" t="e">
            <v>#REF!</v>
          </cell>
          <cell r="E71" t="str">
            <v>Syed Shahid Hussain Shah</v>
          </cell>
          <cell r="F71">
            <v>13</v>
          </cell>
          <cell r="G71" t="str">
            <v>Junior Assistant</v>
          </cell>
          <cell r="H71"/>
          <cell r="J71"/>
        </row>
        <row r="72">
          <cell r="A72" t="str">
            <v>NQ-014</v>
          </cell>
          <cell r="B72" t="str">
            <v>Naib Quasid</v>
          </cell>
          <cell r="C72" t="str">
            <v>Cash Branch _ PEC Office</v>
          </cell>
          <cell r="D72" t="e">
            <v>#REF!</v>
          </cell>
          <cell r="E72" t="str">
            <v>Vacant</v>
          </cell>
          <cell r="F72">
            <v>2</v>
          </cell>
          <cell r="G72" t="str">
            <v>Naib Quasid</v>
          </cell>
          <cell r="H72">
            <v>4</v>
          </cell>
          <cell r="I72">
            <v>0.67</v>
          </cell>
          <cell r="J72" t="str">
            <v>concepts were not clear to him. However, after lectures &amp; leasing, he is well able to understand concepts.</v>
          </cell>
        </row>
        <row r="73">
          <cell r="A73" t="str">
            <v>SUB-009</v>
          </cell>
          <cell r="B73" t="str">
            <v>Sub Assistant</v>
          </cell>
          <cell r="C73" t="str">
            <v>MCO Branch _ PEC Office</v>
          </cell>
          <cell r="D73" t="e">
            <v>#REF!</v>
          </cell>
          <cell r="E73" t="str">
            <v>Vacant</v>
          </cell>
          <cell r="F73">
            <v>11</v>
          </cell>
          <cell r="G73" t="str">
            <v>Sub Assistant</v>
          </cell>
          <cell r="H73"/>
          <cell r="J73"/>
        </row>
        <row r="74">
          <cell r="A74" t="str">
            <v>NQ-015</v>
          </cell>
          <cell r="B74" t="e">
            <v>#N/A</v>
          </cell>
          <cell r="C74" t="e">
            <v>#N/A</v>
          </cell>
          <cell r="D74" t="e">
            <v>#REF!</v>
          </cell>
          <cell r="E74" t="e">
            <v>#N/A</v>
          </cell>
          <cell r="F74" t="e">
            <v>#N/A</v>
          </cell>
          <cell r="G74" t="e">
            <v>#N/A</v>
          </cell>
          <cell r="H74"/>
          <cell r="J74"/>
        </row>
        <row r="75">
          <cell r="A75" t="str">
            <v>SUB-017</v>
          </cell>
          <cell r="B75" t="str">
            <v>Sub Assistant</v>
          </cell>
          <cell r="C75" t="str">
            <v>GS Branch _ PEC Office</v>
          </cell>
          <cell r="D75" t="e">
            <v>#REF!</v>
          </cell>
          <cell r="E75" t="str">
            <v>Vacant</v>
          </cell>
          <cell r="F75">
            <v>11</v>
          </cell>
          <cell r="G75" t="str">
            <v>Sub Assistant</v>
          </cell>
          <cell r="H75"/>
          <cell r="J75"/>
        </row>
        <row r="76">
          <cell r="A76" t="str">
            <v>SA-005</v>
          </cell>
          <cell r="B76" t="str">
            <v>Senior Assistant</v>
          </cell>
          <cell r="C76" t="str">
            <v>DD (GS) Office _ PEC Office</v>
          </cell>
          <cell r="D76" t="e">
            <v>#REF!</v>
          </cell>
          <cell r="E76" t="str">
            <v>M. Mubeen Mushtaque</v>
          </cell>
          <cell r="F76">
            <v>16</v>
          </cell>
          <cell r="G76" t="str">
            <v>Senior Assistant</v>
          </cell>
          <cell r="H76"/>
          <cell r="J76"/>
        </row>
        <row r="77">
          <cell r="A77" t="str">
            <v>JA-009</v>
          </cell>
          <cell r="B77" t="str">
            <v>Junior Assistant</v>
          </cell>
          <cell r="C77" t="str">
            <v>DD (Record) Office _ PEC Office</v>
          </cell>
          <cell r="D77" t="e">
            <v>#REF!</v>
          </cell>
          <cell r="E77" t="str">
            <v>Syed Arsalan Ali</v>
          </cell>
          <cell r="F77">
            <v>13</v>
          </cell>
          <cell r="G77" t="str">
            <v>Junior Assistant</v>
          </cell>
          <cell r="H77">
            <v>4</v>
          </cell>
          <cell r="I77">
            <v>0.7</v>
          </cell>
          <cell r="J77" t="str">
            <v>Participated actively in all sessions/activities and took an active part in group discussions</v>
          </cell>
        </row>
        <row r="78">
          <cell r="A78" t="str">
            <v>NQ-016</v>
          </cell>
          <cell r="B78" t="str">
            <v>Naib Quasid</v>
          </cell>
          <cell r="C78" t="str">
            <v>DD (Record) Office _ PEC Office</v>
          </cell>
          <cell r="D78" t="e">
            <v>#REF!</v>
          </cell>
          <cell r="E78" t="str">
            <v>Salman Hussain</v>
          </cell>
          <cell r="F78">
            <v>4</v>
          </cell>
          <cell r="G78" t="str">
            <v>Naib Quasid</v>
          </cell>
          <cell r="H78">
            <v>4</v>
          </cell>
          <cell r="I78">
            <v>0.5</v>
          </cell>
          <cell r="J78" t="str">
            <v>Concepts were not clear to him. trainers explained each &amp; every issue. However, his participation in group presentations/play was not up to the work.</v>
          </cell>
        </row>
        <row r="79">
          <cell r="A79" t="str">
            <v>SA-006</v>
          </cell>
          <cell r="B79" t="str">
            <v>Senior Assistant</v>
          </cell>
          <cell r="C79" t="str">
            <v>DD (Accounts) Office _ PEC Office</v>
          </cell>
          <cell r="D79" t="e">
            <v>#REF!</v>
          </cell>
          <cell r="E79" t="str">
            <v>Maria</v>
          </cell>
          <cell r="F79">
            <v>15</v>
          </cell>
          <cell r="G79" t="str">
            <v>Senior Assistant</v>
          </cell>
          <cell r="H79"/>
          <cell r="J79"/>
        </row>
        <row r="80">
          <cell r="A80" t="str">
            <v>JA-010</v>
          </cell>
          <cell r="B80" t="str">
            <v>Junior Assistant</v>
          </cell>
          <cell r="C80" t="str">
            <v>DD (Accounts) Office _ PEC Office</v>
          </cell>
          <cell r="D80" t="e">
            <v>#REF!</v>
          </cell>
          <cell r="E80" t="str">
            <v>Muhammad Arsalan</v>
          </cell>
          <cell r="F80">
            <v>13</v>
          </cell>
          <cell r="G80" t="str">
            <v>Junior Assistant</v>
          </cell>
          <cell r="H80">
            <v>2</v>
          </cell>
          <cell r="I80">
            <v>0.77</v>
          </cell>
          <cell r="J80" t="str">
            <v>Attentively heard all lectures. Actively participate in all activities</v>
          </cell>
        </row>
        <row r="81">
          <cell r="A81" t="str">
            <v>SUB-011</v>
          </cell>
          <cell r="B81" t="str">
            <v>Sub Assistant</v>
          </cell>
          <cell r="C81" t="str">
            <v>Transport Branch _ PEC Office</v>
          </cell>
          <cell r="D81" t="e">
            <v>#REF!</v>
          </cell>
          <cell r="E81" t="str">
            <v>Ahsan Nabi</v>
          </cell>
          <cell r="F81">
            <v>11</v>
          </cell>
          <cell r="G81" t="str">
            <v>Sub Assistant</v>
          </cell>
          <cell r="H81">
            <v>4</v>
          </cell>
          <cell r="I81">
            <v>0.85</v>
          </cell>
          <cell r="J81" t="str">
            <v>Actively participated in all sessions/activities. He took a very good interest in training. Discussed issues of workplace Harassment with his group members/participants as well as with trainers.</v>
          </cell>
        </row>
        <row r="82">
          <cell r="A82" t="str">
            <v>NQ-017</v>
          </cell>
          <cell r="B82" t="str">
            <v>Naib Quasid</v>
          </cell>
          <cell r="C82" t="str">
            <v>DD (Accounts) Office _ PEC Office</v>
          </cell>
          <cell r="D82" t="e">
            <v>#REF!</v>
          </cell>
          <cell r="E82" t="str">
            <v>Adeel Atique</v>
          </cell>
          <cell r="F82">
            <v>4</v>
          </cell>
          <cell r="G82" t="str">
            <v>Naib Quasid</v>
          </cell>
          <cell r="H82">
            <v>2</v>
          </cell>
          <cell r="I82">
            <v>0.65</v>
          </cell>
          <cell r="J82" t="str">
            <v>attenting listened to all lectures. Actively participated in all activities.</v>
          </cell>
        </row>
        <row r="83">
          <cell r="A83" t="str">
            <v>SUB-028</v>
          </cell>
          <cell r="B83" t="str">
            <v>Sub Assistant</v>
          </cell>
          <cell r="C83" t="str">
            <v>Elections Branch _ PEC Office</v>
          </cell>
          <cell r="D83" t="e">
            <v>#REF!</v>
          </cell>
          <cell r="E83" t="str">
            <v>Sajjad Ali Umrani</v>
          </cell>
          <cell r="F83">
            <v>11</v>
          </cell>
          <cell r="G83" t="str">
            <v>Sub Assistant</v>
          </cell>
          <cell r="H83">
            <v>1</v>
          </cell>
          <cell r="I83">
            <v>0.78</v>
          </cell>
          <cell r="J83" t="str">
            <v xml:space="preserve">Concepts were clear to him. very actively participate in all activities. </v>
          </cell>
        </row>
        <row r="84">
          <cell r="A84" t="str">
            <v>DRA-001</v>
          </cell>
          <cell r="B84" t="str">
            <v>Draughtsman</v>
          </cell>
          <cell r="C84" t="str">
            <v>Elections Branch _ PEC Office</v>
          </cell>
          <cell r="D84" t="e">
            <v>#REF!</v>
          </cell>
          <cell r="E84" t="str">
            <v>Syed Mazhar Hussain</v>
          </cell>
          <cell r="F84">
            <v>16</v>
          </cell>
          <cell r="G84" t="str">
            <v>Draughtsman</v>
          </cell>
          <cell r="H84">
            <v>1</v>
          </cell>
          <cell r="I84">
            <v>0.78</v>
          </cell>
          <cell r="J84" t="str">
            <v>Concepts were already clear to him. actively participated in group discussions and activities.</v>
          </cell>
        </row>
        <row r="85">
          <cell r="A85" t="str">
            <v>SA-007</v>
          </cell>
          <cell r="B85" t="str">
            <v>Senior Assistant</v>
          </cell>
          <cell r="C85" t="str">
            <v>Elections Branch _ PEC Office</v>
          </cell>
          <cell r="D85" t="e">
            <v>#REF!</v>
          </cell>
          <cell r="E85" t="str">
            <v>Amar Zafar Khushik</v>
          </cell>
          <cell r="F85">
            <v>16</v>
          </cell>
          <cell r="G85" t="str">
            <v>Senior Assistant</v>
          </cell>
          <cell r="H85">
            <v>2</v>
          </cell>
          <cell r="I85">
            <v>0.78</v>
          </cell>
          <cell r="J85" t="str">
            <v>Listened attentively to all lectures. actively participate in all activities. performance was excellent.</v>
          </cell>
        </row>
        <row r="86">
          <cell r="A86" t="str">
            <v>DEO-006</v>
          </cell>
          <cell r="B86" t="str">
            <v xml:space="preserve">Data Entry Operator </v>
          </cell>
          <cell r="C86" t="str">
            <v>Elections Branch _ PEC Office</v>
          </cell>
          <cell r="D86" t="e">
            <v>#REF!</v>
          </cell>
          <cell r="E86" t="str">
            <v>Javed Ali</v>
          </cell>
          <cell r="F86">
            <v>14</v>
          </cell>
          <cell r="G86" t="str">
            <v xml:space="preserve">Data Entry Operator </v>
          </cell>
          <cell r="H86">
            <v>3</v>
          </cell>
          <cell r="I86">
            <v>0.67</v>
          </cell>
          <cell r="J86" t="str">
            <v>Listened to all lectures with attention. Participating in group activities was also satisfactory.</v>
          </cell>
        </row>
        <row r="87">
          <cell r="A87" t="str">
            <v>JA-011</v>
          </cell>
          <cell r="B87" t="str">
            <v>Junior Assistant</v>
          </cell>
          <cell r="C87" t="str">
            <v>GS Branch _ PEC Office</v>
          </cell>
          <cell r="D87" t="e">
            <v>#REF!</v>
          </cell>
          <cell r="E87" t="str">
            <v>M. Shaheer Shaikh</v>
          </cell>
          <cell r="F87">
            <v>13</v>
          </cell>
          <cell r="G87" t="str">
            <v>Junior Assistant</v>
          </cell>
          <cell r="H87">
            <v>3</v>
          </cell>
          <cell r="I87">
            <v>0.7</v>
          </cell>
          <cell r="J87" t="str">
            <v>Actively participated in all group activities.</v>
          </cell>
        </row>
        <row r="88">
          <cell r="A88" t="str">
            <v>NQ-018</v>
          </cell>
          <cell r="B88" t="str">
            <v>Naib Quasid</v>
          </cell>
          <cell r="C88" t="str">
            <v>Elections Branch _ PEC Office</v>
          </cell>
          <cell r="D88" t="e">
            <v>#REF!</v>
          </cell>
          <cell r="E88" t="str">
            <v>Shahrukh Khan</v>
          </cell>
          <cell r="F88">
            <v>4</v>
          </cell>
          <cell r="G88" t="str">
            <v>Naib Quasid</v>
          </cell>
          <cell r="H88">
            <v>1</v>
          </cell>
          <cell r="I88">
            <v>0.56999999999999995</v>
          </cell>
          <cell r="J88" t="str">
            <v xml:space="preserve">Participation was average. was hesitant in group discussions </v>
          </cell>
        </row>
        <row r="89">
          <cell r="A89" t="str">
            <v>SA-008</v>
          </cell>
          <cell r="B89" t="str">
            <v>Senior Assistant</v>
          </cell>
          <cell r="C89" t="str">
            <v>G&amp;SI Branch _ PEC Office</v>
          </cell>
          <cell r="D89" t="e">
            <v>#REF!</v>
          </cell>
          <cell r="E89" t="str">
            <v>Muhamad Humayun Iqbal</v>
          </cell>
          <cell r="F89">
            <v>16</v>
          </cell>
          <cell r="G89" t="str">
            <v>Senior Assistant</v>
          </cell>
          <cell r="H89">
            <v>2</v>
          </cell>
          <cell r="I89">
            <v>0.73</v>
          </cell>
          <cell r="J89" t="str">
            <v>Listened attentively to all lectures. concepts was already clear to him. Actively participated in all group discussions and activities.</v>
          </cell>
        </row>
        <row r="90">
          <cell r="A90" t="str">
            <v>JA-012</v>
          </cell>
          <cell r="B90" t="str">
            <v>Junior Assistant</v>
          </cell>
          <cell r="C90" t="str">
            <v>G&amp;SI Branch _ PEC Office</v>
          </cell>
          <cell r="D90" t="e">
            <v>#REF!</v>
          </cell>
          <cell r="E90" t="str">
            <v>Vacant</v>
          </cell>
          <cell r="F90">
            <v>13</v>
          </cell>
          <cell r="G90" t="str">
            <v>Junior Assistant</v>
          </cell>
          <cell r="H90"/>
          <cell r="J90"/>
        </row>
        <row r="91">
          <cell r="A91" t="str">
            <v>SUB-013</v>
          </cell>
          <cell r="B91" t="str">
            <v>Sub Assistant</v>
          </cell>
          <cell r="C91" t="str">
            <v>G&amp;SI Branch _ PEC Office</v>
          </cell>
          <cell r="D91" t="e">
            <v>#REF!</v>
          </cell>
          <cell r="E91" t="str">
            <v>Areeba Khan</v>
          </cell>
          <cell r="F91">
            <v>11</v>
          </cell>
          <cell r="G91" t="str">
            <v>Sub Assistant</v>
          </cell>
          <cell r="H91">
            <v>1</v>
          </cell>
          <cell r="I91">
            <v>0.78</v>
          </cell>
          <cell r="J91" t="str">
            <v>Concepts were clear to him. Very active participation in group discussions and activities.</v>
          </cell>
        </row>
        <row r="92">
          <cell r="A92" t="str">
            <v>NQ-019</v>
          </cell>
          <cell r="B92" t="str">
            <v>Naib Quasid</v>
          </cell>
          <cell r="C92" t="str">
            <v>G&amp;SI Branch _ PEC Office</v>
          </cell>
          <cell r="D92" t="e">
            <v>#REF!</v>
          </cell>
          <cell r="E92" t="str">
            <v>Syed Bilal Ali</v>
          </cell>
          <cell r="F92">
            <v>4</v>
          </cell>
          <cell r="G92" t="str">
            <v>Naib Quasid</v>
          </cell>
          <cell r="H92">
            <v>2</v>
          </cell>
          <cell r="I92">
            <v>0.5</v>
          </cell>
          <cell r="J92" t="str">
            <v>Participation was average. However, he tried to understand issues; performance in group activities was also average.</v>
          </cell>
        </row>
        <row r="93">
          <cell r="A93" t="str">
            <v>SA-009</v>
          </cell>
          <cell r="B93" t="str">
            <v>Senior Assistant</v>
          </cell>
          <cell r="C93" t="str">
            <v>DD (Law) Office _ PEC Office</v>
          </cell>
          <cell r="D93" t="e">
            <v>#REF!</v>
          </cell>
          <cell r="E93" t="str">
            <v>Ihsan Ahmed</v>
          </cell>
          <cell r="F93">
            <v>16</v>
          </cell>
          <cell r="G93" t="str">
            <v>Senior Assistant</v>
          </cell>
          <cell r="H93">
            <v>2</v>
          </cell>
          <cell r="I93">
            <v>0.79</v>
          </cell>
          <cell r="J93" t="str">
            <v>Concepts were already clear to him. Very actively participate in all group discussions and activities.</v>
          </cell>
        </row>
        <row r="94">
          <cell r="A94" t="str">
            <v>JPA-005</v>
          </cell>
          <cell r="B94" t="str">
            <v>Junior Personal Assistant</v>
          </cell>
          <cell r="C94" t="str">
            <v>DD (Law) Office _ PEC Office</v>
          </cell>
          <cell r="D94" t="e">
            <v>#REF!</v>
          </cell>
          <cell r="E94" t="str">
            <v>Mujeeb-ur-Rehman</v>
          </cell>
          <cell r="F94">
            <v>15</v>
          </cell>
          <cell r="G94" t="str">
            <v>Junior Personal Assistant</v>
          </cell>
          <cell r="H94">
            <v>2</v>
          </cell>
          <cell r="I94">
            <v>0.78</v>
          </cell>
          <cell r="J94" t="str">
            <v>Listened attentively to all lectures. very actively participated in all activities.</v>
          </cell>
        </row>
        <row r="95">
          <cell r="A95" t="str">
            <v>JA-013</v>
          </cell>
          <cell r="B95" t="str">
            <v>Junior Assistant</v>
          </cell>
          <cell r="C95" t="str">
            <v>DD (Law) Office _ PEC Office</v>
          </cell>
          <cell r="D95" t="e">
            <v>#REF!</v>
          </cell>
          <cell r="E95" t="str">
            <v>Muhammad Asif</v>
          </cell>
          <cell r="F95">
            <v>13</v>
          </cell>
          <cell r="G95" t="str">
            <v>Junior Assistant</v>
          </cell>
          <cell r="H95">
            <v>4</v>
          </cell>
          <cell r="I95">
            <v>0.53</v>
          </cell>
          <cell r="J95" t="str">
            <v>Concepts were not clear to him. However, after lectures &amp; leasing, he was able to understand the issues.</v>
          </cell>
        </row>
        <row r="96">
          <cell r="A96" t="str">
            <v>SUB-014</v>
          </cell>
          <cell r="B96" t="str">
            <v>Sub Assistant</v>
          </cell>
          <cell r="C96" t="str">
            <v>DD (Law) Office _ PEC Office</v>
          </cell>
          <cell r="D96" t="e">
            <v>#REF!</v>
          </cell>
          <cell r="E96" t="str">
            <v>Farhad Masood</v>
          </cell>
          <cell r="F96">
            <v>11</v>
          </cell>
          <cell r="G96" t="str">
            <v>Sub Assistant</v>
          </cell>
          <cell r="H96">
            <v>2</v>
          </cell>
          <cell r="I96">
            <v>0.72</v>
          </cell>
          <cell r="J96" t="str">
            <v xml:space="preserve">attentively listened to all lectures. Actively participate in group activities. </v>
          </cell>
        </row>
        <row r="97">
          <cell r="A97" t="str">
            <v>SA-010</v>
          </cell>
          <cell r="B97" t="str">
            <v>Senior Assistant</v>
          </cell>
          <cell r="C97" t="str">
            <v>DD (Record) Office _ PEC Office</v>
          </cell>
          <cell r="D97" t="e">
            <v>#REF!</v>
          </cell>
          <cell r="E97" t="str">
            <v>Adnan Bashir</v>
          </cell>
          <cell r="F97">
            <v>16</v>
          </cell>
          <cell r="G97" t="str">
            <v>Senior Assistant</v>
          </cell>
          <cell r="H97">
            <v>1</v>
          </cell>
          <cell r="I97">
            <v>0.78</v>
          </cell>
          <cell r="J97" t="str">
            <v>Concepts were clear to him. Actively participated in all group activities and discussions.</v>
          </cell>
        </row>
        <row r="98">
          <cell r="A98" t="str">
            <v>SA-011</v>
          </cell>
          <cell r="B98" t="str">
            <v>Senior Assistant</v>
          </cell>
          <cell r="C98" t="str">
            <v>GS Branch _ PEC Office</v>
          </cell>
          <cell r="D98" t="e">
            <v>#REF!</v>
          </cell>
          <cell r="E98" t="str">
            <v>Akhtar-Ul-Islam</v>
          </cell>
          <cell r="F98">
            <v>16</v>
          </cell>
          <cell r="G98" t="str">
            <v>Senior Assistant</v>
          </cell>
          <cell r="H98">
            <v>4</v>
          </cell>
          <cell r="I98">
            <v>0.74</v>
          </cell>
          <cell r="J98" t="str">
            <v>Actively participated in all sessions. Discussed issues of harassment at the workplace with participants as well as with trainers.</v>
          </cell>
        </row>
        <row r="99">
          <cell r="A99" t="str">
            <v>JA-014</v>
          </cell>
          <cell r="B99" t="str">
            <v>Junior Assistant</v>
          </cell>
          <cell r="C99" t="str">
            <v>Elections Branch _ PEC Office</v>
          </cell>
          <cell r="D99" t="e">
            <v>#REF!</v>
          </cell>
          <cell r="E99" t="str">
            <v>Vacant</v>
          </cell>
          <cell r="F99">
            <v>13</v>
          </cell>
          <cell r="G99" t="str">
            <v>Junior Assistant</v>
          </cell>
          <cell r="H99"/>
          <cell r="J99"/>
        </row>
        <row r="100">
          <cell r="A100" t="str">
            <v>SUB-015</v>
          </cell>
          <cell r="B100" t="str">
            <v>Sub Assistant</v>
          </cell>
          <cell r="C100" t="str">
            <v>DD (Record) Office _ PEC Office</v>
          </cell>
          <cell r="D100" t="e">
            <v>#REF!</v>
          </cell>
          <cell r="E100" t="str">
            <v>Adeel Aziz</v>
          </cell>
          <cell r="F100">
            <v>11</v>
          </cell>
          <cell r="G100" t="str">
            <v>Sub Assistant</v>
          </cell>
          <cell r="H100">
            <v>3</v>
          </cell>
          <cell r="I100">
            <v>0.74</v>
          </cell>
          <cell r="J100" t="str">
            <v>Actively Participated in all Activities</v>
          </cell>
        </row>
        <row r="101">
          <cell r="A101" t="str">
            <v>NQ-021</v>
          </cell>
          <cell r="B101" t="str">
            <v>Naib Quasid</v>
          </cell>
          <cell r="C101" t="str">
            <v>GS Branch _ PEC Office</v>
          </cell>
          <cell r="D101" t="e">
            <v>#REF!</v>
          </cell>
          <cell r="E101" t="str">
            <v xml:space="preserve">Muhammad Imran </v>
          </cell>
          <cell r="F101">
            <v>4</v>
          </cell>
          <cell r="G101" t="str">
            <v>Naib Quasid</v>
          </cell>
          <cell r="H101">
            <v>3</v>
          </cell>
          <cell r="I101">
            <v>0.68</v>
          </cell>
          <cell r="J101" t="str">
            <v>Overall, participation was good.</v>
          </cell>
        </row>
        <row r="102">
          <cell r="A102" t="str">
            <v>NQ-022</v>
          </cell>
          <cell r="B102" t="str">
            <v>Naib Quasid</v>
          </cell>
          <cell r="C102" t="str">
            <v>GS Branch _ PEC Office</v>
          </cell>
          <cell r="D102" t="e">
            <v>#REF!</v>
          </cell>
          <cell r="E102" t="str">
            <v>Vacant</v>
          </cell>
          <cell r="F102">
            <v>2</v>
          </cell>
          <cell r="G102" t="str">
            <v>Naib Quasid</v>
          </cell>
          <cell r="H102"/>
          <cell r="J102"/>
        </row>
        <row r="103">
          <cell r="A103" t="str">
            <v>DEO-007</v>
          </cell>
          <cell r="B103" t="str">
            <v xml:space="preserve">Data Entry Operator </v>
          </cell>
          <cell r="C103" t="str">
            <v>LGE Branch _ PEC Office</v>
          </cell>
          <cell r="D103" t="e">
            <v>#REF!</v>
          </cell>
          <cell r="E103" t="str">
            <v>Muhammad Faraz</v>
          </cell>
          <cell r="F103">
            <v>15</v>
          </cell>
          <cell r="G103" t="str">
            <v xml:space="preserve">Data Entry Operator </v>
          </cell>
          <cell r="H103">
            <v>4</v>
          </cell>
          <cell r="I103">
            <v>0.71</v>
          </cell>
          <cell r="J103" t="str">
            <v>Participated in all activities with interest. Played an active role in role play.</v>
          </cell>
        </row>
        <row r="104">
          <cell r="A104" t="str">
            <v>SA-012</v>
          </cell>
          <cell r="B104" t="str">
            <v>Senior Assistant</v>
          </cell>
          <cell r="C104" t="str">
            <v>LGE Branch _ PEC Office</v>
          </cell>
          <cell r="D104" t="e">
            <v>#REF!</v>
          </cell>
          <cell r="E104" t="str">
            <v>Vacant</v>
          </cell>
          <cell r="F104">
            <v>15</v>
          </cell>
          <cell r="G104" t="str">
            <v>Senior Assistant</v>
          </cell>
          <cell r="H104"/>
          <cell r="J104"/>
        </row>
        <row r="105">
          <cell r="A105" t="str">
            <v>JA-015</v>
          </cell>
          <cell r="B105" t="str">
            <v>Junior Assistant</v>
          </cell>
          <cell r="C105" t="str">
            <v>LGE Branch _ PEC Office</v>
          </cell>
          <cell r="D105" t="e">
            <v>#REF!</v>
          </cell>
          <cell r="E105" t="str">
            <v>Muhammad Rameez Khan</v>
          </cell>
          <cell r="F105">
            <v>13</v>
          </cell>
          <cell r="G105" t="str">
            <v>Junior Assistant</v>
          </cell>
          <cell r="H105">
            <v>4</v>
          </cell>
          <cell r="I105">
            <v>0.74</v>
          </cell>
          <cell r="J105" t="str">
            <v>Actively participated in all group activities/sessions. Discussed issues of harassment with participants as well as trainers.</v>
          </cell>
        </row>
        <row r="106">
          <cell r="A106" t="str">
            <v>SUB-016</v>
          </cell>
          <cell r="B106" t="str">
            <v>Sub Assistant</v>
          </cell>
          <cell r="C106" t="str">
            <v>LGE Branch _ PEC Office</v>
          </cell>
          <cell r="D106" t="e">
            <v>#REF!</v>
          </cell>
          <cell r="E106" t="str">
            <v>Vacant</v>
          </cell>
          <cell r="F106">
            <v>11</v>
          </cell>
          <cell r="G106" t="str">
            <v>Sub Assistant</v>
          </cell>
          <cell r="H106"/>
          <cell r="J106"/>
        </row>
        <row r="107">
          <cell r="A107" t="str">
            <v>NQ-023</v>
          </cell>
          <cell r="B107" t="str">
            <v>Naib Quasid</v>
          </cell>
          <cell r="C107" t="str">
            <v>Admn Branch _ PEC Office</v>
          </cell>
          <cell r="D107" t="e">
            <v>#REF!</v>
          </cell>
          <cell r="E107" t="str">
            <v>Abdul Karim</v>
          </cell>
          <cell r="F107">
            <v>5</v>
          </cell>
          <cell r="G107" t="str">
            <v>Naib Quasid</v>
          </cell>
          <cell r="H107">
            <v>4</v>
          </cell>
          <cell r="I107">
            <v>0.65</v>
          </cell>
          <cell r="J107" t="str">
            <v>Listened attentively to all lectures. Took good interest in all sessions/activities.</v>
          </cell>
        </row>
        <row r="108">
          <cell r="A108" t="str">
            <v>JPA-006</v>
          </cell>
          <cell r="B108" t="str">
            <v>Junior Personal Assistant (Urdu Typist)</v>
          </cell>
          <cell r="C108" t="str">
            <v>MCO Branch _ PEC Office</v>
          </cell>
          <cell r="D108" t="e">
            <v>#REF!</v>
          </cell>
          <cell r="E108" t="str">
            <v>Aamir Ali</v>
          </cell>
          <cell r="F108">
            <v>15</v>
          </cell>
          <cell r="G108" t="str">
            <v>Junior Personal Assistant (Urdu Typist)</v>
          </cell>
          <cell r="H108">
            <v>1</v>
          </cell>
          <cell r="I108">
            <v>0.72</v>
          </cell>
          <cell r="J108" t="str">
            <v>Concepts were clear to him. Actively participated in all group discussions and activities.</v>
          </cell>
        </row>
        <row r="109">
          <cell r="A109" t="str">
            <v>SA-013</v>
          </cell>
          <cell r="B109" t="str">
            <v>Senior Assistant</v>
          </cell>
          <cell r="C109" t="str">
            <v>MCO Branch _ PEC Office</v>
          </cell>
          <cell r="D109" t="e">
            <v>#REF!</v>
          </cell>
          <cell r="E109" t="str">
            <v>Vacant</v>
          </cell>
          <cell r="F109">
            <v>15</v>
          </cell>
          <cell r="G109" t="str">
            <v>Senior Assistant</v>
          </cell>
          <cell r="H109"/>
          <cell r="J109"/>
        </row>
        <row r="110">
          <cell r="A110" t="str">
            <v>DEO-008</v>
          </cell>
          <cell r="B110" t="str">
            <v xml:space="preserve">Data Entry Operator </v>
          </cell>
          <cell r="C110" t="str">
            <v>MCO Branch _ PEC Office</v>
          </cell>
          <cell r="D110" t="e">
            <v>#REF!</v>
          </cell>
          <cell r="E110" t="str">
            <v>Vacant</v>
          </cell>
          <cell r="F110">
            <v>14</v>
          </cell>
          <cell r="G110" t="str">
            <v xml:space="preserve">Data Entry Operator </v>
          </cell>
          <cell r="H110"/>
          <cell r="J110"/>
        </row>
        <row r="111">
          <cell r="A111" t="str">
            <v>JA-016</v>
          </cell>
          <cell r="B111" t="str">
            <v>Junior Assistant</v>
          </cell>
          <cell r="C111" t="str">
            <v>MCO Branch _ PEC Office</v>
          </cell>
          <cell r="D111" t="e">
            <v>#REF!</v>
          </cell>
          <cell r="E111" t="str">
            <v xml:space="preserve">Mir Hassan </v>
          </cell>
          <cell r="F111">
            <v>13</v>
          </cell>
          <cell r="G111" t="str">
            <v>Junior Assistant</v>
          </cell>
          <cell r="H111">
            <v>4</v>
          </cell>
          <cell r="I111">
            <v>0.73</v>
          </cell>
          <cell r="J111" t="str">
            <v>Participated actively &amp; with interest in all group activities. escaped his thoughts with trainers</v>
          </cell>
        </row>
        <row r="112">
          <cell r="A112" t="str">
            <v>PH-001</v>
          </cell>
          <cell r="B112" t="str">
            <v>Photographer/Videographer</v>
          </cell>
          <cell r="C112" t="str">
            <v>MCO Branch _ PEC Office</v>
          </cell>
          <cell r="D112" t="e">
            <v>#REF!</v>
          </cell>
          <cell r="E112" t="str">
            <v>Siraj-ul-Haq</v>
          </cell>
          <cell r="F112">
            <v>11</v>
          </cell>
          <cell r="G112" t="str">
            <v>Photographer/Videographer</v>
          </cell>
          <cell r="H112"/>
          <cell r="J112"/>
        </row>
        <row r="113">
          <cell r="A113" t="str">
            <v>SUB-003</v>
          </cell>
          <cell r="B113" t="str">
            <v>Sub Assistant</v>
          </cell>
          <cell r="C113" t="str">
            <v>DD (Development) Office _ PEC Office</v>
          </cell>
          <cell r="D113" t="e">
            <v>#REF!</v>
          </cell>
          <cell r="E113" t="str">
            <v xml:space="preserve">Kanwal Sardar </v>
          </cell>
          <cell r="F113">
            <v>11</v>
          </cell>
          <cell r="G113" t="str">
            <v>Sub Assistant</v>
          </cell>
          <cell r="H113">
            <v>4</v>
          </cell>
          <cell r="I113">
            <v>0.7</v>
          </cell>
          <cell r="J113" t="str">
            <v>Actively participated in activities. Took good interest in training.</v>
          </cell>
        </row>
        <row r="114">
          <cell r="A114" t="str">
            <v>NQ-024</v>
          </cell>
          <cell r="B114" t="e">
            <v>#N/A</v>
          </cell>
          <cell r="C114" t="e">
            <v>#N/A</v>
          </cell>
          <cell r="D114" t="e">
            <v>#REF!</v>
          </cell>
          <cell r="E114" t="e">
            <v>#N/A</v>
          </cell>
          <cell r="F114" t="e">
            <v>#N/A</v>
          </cell>
          <cell r="G114" t="e">
            <v>#N/A</v>
          </cell>
          <cell r="H114"/>
          <cell r="J114"/>
        </row>
        <row r="115">
          <cell r="A115" t="str">
            <v>DEO-002</v>
          </cell>
          <cell r="B115" t="str">
            <v xml:space="preserve">Data Entry Operator </v>
          </cell>
          <cell r="C115" t="str">
            <v>Admn Branch _ PEC Office</v>
          </cell>
          <cell r="D115" t="e">
            <v>#REF!</v>
          </cell>
          <cell r="E115" t="str">
            <v>Raj Kumar</v>
          </cell>
          <cell r="F115">
            <v>14</v>
          </cell>
          <cell r="G115" t="str">
            <v xml:space="preserve">Data Entry Operator </v>
          </cell>
          <cell r="H115">
            <v>3</v>
          </cell>
          <cell r="I115">
            <v>0.73</v>
          </cell>
          <cell r="J115" t="str">
            <v>Carefully listened to all lectures and participated actively in all group activities.</v>
          </cell>
        </row>
        <row r="116">
          <cell r="A116" t="str">
            <v>NQ-025</v>
          </cell>
          <cell r="B116" t="str">
            <v>Naib Quasid</v>
          </cell>
          <cell r="C116" t="str">
            <v>Director (MIS) Office _ PEC Office</v>
          </cell>
          <cell r="D116" t="e">
            <v>#REF!</v>
          </cell>
          <cell r="E116" t="str">
            <v>Muhammad Raheel</v>
          </cell>
          <cell r="F116">
            <v>4</v>
          </cell>
          <cell r="G116" t="str">
            <v>Naib Quasid</v>
          </cell>
          <cell r="H116">
            <v>4</v>
          </cell>
          <cell r="I116">
            <v>0.73</v>
          </cell>
          <cell r="J116" t="str">
            <v>Actively participated in all sessions/activities. Concipts were not cleared to their. However, after lectures, he was able to answer questions.</v>
          </cell>
        </row>
        <row r="117">
          <cell r="A117" t="str">
            <v>DEO-009</v>
          </cell>
          <cell r="B117" t="str">
            <v xml:space="preserve">Data Entry Operator </v>
          </cell>
          <cell r="C117" t="str">
            <v>Computer Lab / IT Branch _ PEC Office</v>
          </cell>
          <cell r="D117" t="e">
            <v>#REF!</v>
          </cell>
          <cell r="E117" t="str">
            <v xml:space="preserve">Ch. Afzal Ahmed  </v>
          </cell>
          <cell r="F117">
            <v>15</v>
          </cell>
          <cell r="G117" t="str">
            <v xml:space="preserve">Data Entry Operator </v>
          </cell>
          <cell r="H117">
            <v>2</v>
          </cell>
          <cell r="I117">
            <v>0.78</v>
          </cell>
          <cell r="J117" t="str">
            <v xml:space="preserve">Very actively participated in all group discussions and activities. attentively listened to all lectures. </v>
          </cell>
        </row>
        <row r="118">
          <cell r="A118" t="str">
            <v>NQ-026</v>
          </cell>
          <cell r="B118" t="str">
            <v>Naib Quasid</v>
          </cell>
          <cell r="C118" t="str">
            <v>Computer Lab / IT Branch _ PEC Office</v>
          </cell>
          <cell r="D118" t="e">
            <v>#REF!</v>
          </cell>
          <cell r="E118" t="str">
            <v>Muhammad Ayaz</v>
          </cell>
          <cell r="F118">
            <v>4</v>
          </cell>
          <cell r="G118" t="str">
            <v>Naib Quasid</v>
          </cell>
          <cell r="H118">
            <v>3</v>
          </cell>
          <cell r="I118">
            <v>0.62</v>
          </cell>
          <cell r="J118" t="str">
            <v>Overall participation was good</v>
          </cell>
        </row>
        <row r="119">
          <cell r="A119" t="str">
            <v>DAD-001</v>
          </cell>
          <cell r="B119" t="str">
            <v>Deputy Assistant Director</v>
          </cell>
          <cell r="C119" t="str">
            <v>REC Sukkur _ REC Sukkur</v>
          </cell>
          <cell r="D119" t="e">
            <v>#REF!</v>
          </cell>
          <cell r="E119" t="str">
            <v>Vacant</v>
          </cell>
          <cell r="F119">
            <v>16</v>
          </cell>
          <cell r="G119" t="str">
            <v>Deputy Assistant Director</v>
          </cell>
          <cell r="H119"/>
          <cell r="J119"/>
        </row>
        <row r="120">
          <cell r="A120" t="str">
            <v>SA-014</v>
          </cell>
          <cell r="B120" t="str">
            <v>Senior Assistant</v>
          </cell>
          <cell r="C120" t="str">
            <v>REC Sukkur _ REC Sukkur</v>
          </cell>
          <cell r="D120" t="e">
            <v>#REF!</v>
          </cell>
          <cell r="E120" t="str">
            <v>Saifullah Ulro</v>
          </cell>
          <cell r="F120">
            <v>16</v>
          </cell>
          <cell r="G120" t="str">
            <v>Senior Assistant</v>
          </cell>
          <cell r="H120"/>
          <cell r="J120"/>
        </row>
        <row r="121">
          <cell r="A121" t="str">
            <v>SPA-004</v>
          </cell>
          <cell r="B121" t="str">
            <v xml:space="preserve">Senior Personal Assistant </v>
          </cell>
          <cell r="C121" t="str">
            <v>REC Sukkur _ REC Sukkur</v>
          </cell>
          <cell r="D121" t="e">
            <v>#REF!</v>
          </cell>
          <cell r="E121" t="str">
            <v>Sadaruddin Abbasi</v>
          </cell>
          <cell r="F121">
            <v>16</v>
          </cell>
          <cell r="G121" t="str">
            <v xml:space="preserve">Senior Personal Assistant </v>
          </cell>
          <cell r="H121"/>
          <cell r="J121"/>
        </row>
        <row r="122">
          <cell r="A122" t="str">
            <v>DEO-010</v>
          </cell>
          <cell r="B122" t="str">
            <v xml:space="preserve">Data Entry Operator </v>
          </cell>
          <cell r="C122" t="str">
            <v>REC Sukkur _ REC Sukkur</v>
          </cell>
          <cell r="D122" t="e">
            <v>#REF!</v>
          </cell>
          <cell r="E122" t="str">
            <v>Amir Muhammad</v>
          </cell>
          <cell r="F122">
            <v>15</v>
          </cell>
          <cell r="G122" t="str">
            <v xml:space="preserve">Data Entry Operator </v>
          </cell>
          <cell r="H122"/>
          <cell r="J122"/>
        </row>
        <row r="123">
          <cell r="A123" t="str">
            <v>JA-017</v>
          </cell>
          <cell r="B123" t="str">
            <v>Junior Assistant</v>
          </cell>
          <cell r="C123" t="str">
            <v>REC Sukkur _ REC Sukkur</v>
          </cell>
          <cell r="D123" t="e">
            <v>#REF!</v>
          </cell>
          <cell r="E123" t="str">
            <v>Javed Ahmed Nohani</v>
          </cell>
          <cell r="F123">
            <v>13</v>
          </cell>
          <cell r="G123" t="str">
            <v>Junior Assistant</v>
          </cell>
          <cell r="H123"/>
          <cell r="J123"/>
        </row>
        <row r="124">
          <cell r="A124" t="str">
            <v>SUB-018</v>
          </cell>
          <cell r="B124" t="str">
            <v>Sub Assistant</v>
          </cell>
          <cell r="C124" t="str">
            <v>REC Sukkur _ REC Sukkur</v>
          </cell>
          <cell r="D124" t="e">
            <v>#REF!</v>
          </cell>
          <cell r="E124" t="str">
            <v>Shumila Ishaq</v>
          </cell>
          <cell r="F124">
            <v>11</v>
          </cell>
          <cell r="G124" t="str">
            <v>Sub Assistant</v>
          </cell>
          <cell r="H124"/>
          <cell r="J124"/>
        </row>
        <row r="125">
          <cell r="A125" t="str">
            <v>DR-003</v>
          </cell>
          <cell r="B125" t="str">
            <v>Dispatch Rider</v>
          </cell>
          <cell r="C125" t="str">
            <v>REC Sukkur _ REC Sukkur</v>
          </cell>
          <cell r="D125" t="e">
            <v>#REF!</v>
          </cell>
          <cell r="E125" t="str">
            <v>Vacant</v>
          </cell>
          <cell r="F125">
            <v>7</v>
          </cell>
          <cell r="G125" t="str">
            <v>Dispatch Rider</v>
          </cell>
          <cell r="H125"/>
          <cell r="J125"/>
        </row>
        <row r="126">
          <cell r="A126" t="str">
            <v>SCD-006</v>
          </cell>
          <cell r="B126" t="str">
            <v>Staff Car Driver</v>
          </cell>
          <cell r="C126" t="str">
            <v>REC Sukkur _ REC Sukkur</v>
          </cell>
          <cell r="D126" t="e">
            <v>#REF!</v>
          </cell>
          <cell r="E126" t="str">
            <v>Niaz Ali</v>
          </cell>
          <cell r="F126">
            <v>7</v>
          </cell>
          <cell r="G126" t="str">
            <v>Staff Car Driver</v>
          </cell>
          <cell r="H126"/>
          <cell r="J126"/>
        </row>
        <row r="127">
          <cell r="A127" t="str">
            <v>CH-009</v>
          </cell>
          <cell r="B127" t="str">
            <v>Chowkidar</v>
          </cell>
          <cell r="C127" t="str">
            <v>REC Sukkur _ REC Sukkur</v>
          </cell>
          <cell r="D127" t="e">
            <v>#REF!</v>
          </cell>
          <cell r="E127" t="str">
            <v>Abdul Shakoor</v>
          </cell>
          <cell r="F127">
            <v>5</v>
          </cell>
          <cell r="G127" t="str">
            <v>Chowkidar</v>
          </cell>
          <cell r="H127"/>
          <cell r="J127"/>
        </row>
        <row r="128">
          <cell r="A128" t="str">
            <v>NQ-027</v>
          </cell>
          <cell r="B128" t="str">
            <v>Naib Quasid</v>
          </cell>
          <cell r="C128" t="str">
            <v>REC Sukkur _ REC Sukkur</v>
          </cell>
          <cell r="D128" t="e">
            <v>#REF!</v>
          </cell>
          <cell r="E128" t="str">
            <v>Abdul Sami</v>
          </cell>
          <cell r="F128">
            <v>5</v>
          </cell>
          <cell r="G128" t="str">
            <v>Naib Quasid</v>
          </cell>
          <cell r="H128"/>
          <cell r="J128"/>
        </row>
        <row r="129">
          <cell r="A129" t="str">
            <v>SA-015</v>
          </cell>
          <cell r="B129" t="str">
            <v>Senior Assistant</v>
          </cell>
          <cell r="C129" t="str">
            <v>REC Sukkur Strong Room _ REC Sukkur</v>
          </cell>
          <cell r="D129" t="e">
            <v>#REF!</v>
          </cell>
          <cell r="E129" t="str">
            <v>Salamat Ali</v>
          </cell>
          <cell r="F129">
            <v>16</v>
          </cell>
          <cell r="G129" t="str">
            <v>Senior Assistant</v>
          </cell>
          <cell r="H129"/>
          <cell r="J129"/>
        </row>
        <row r="130">
          <cell r="A130" t="str">
            <v>JA-018</v>
          </cell>
          <cell r="B130" t="str">
            <v>Junior Assistant</v>
          </cell>
          <cell r="C130" t="str">
            <v>REC Sukkur Strong Room _ REC Sukkur</v>
          </cell>
          <cell r="D130" t="e">
            <v>#REF!</v>
          </cell>
          <cell r="E130" t="str">
            <v>Saeed-ur-Rehman</v>
          </cell>
          <cell r="F130">
            <v>13</v>
          </cell>
          <cell r="G130" t="str">
            <v>Junior Assistant</v>
          </cell>
          <cell r="H130"/>
          <cell r="J130"/>
        </row>
        <row r="131">
          <cell r="A131" t="str">
            <v>NQ-029</v>
          </cell>
          <cell r="B131" t="str">
            <v>Naib Quasid</v>
          </cell>
          <cell r="C131" t="str">
            <v>REC Sukkur Strong Room _ REC Sukkur</v>
          </cell>
          <cell r="D131" t="e">
            <v>#REF!</v>
          </cell>
          <cell r="E131" t="str">
            <v>Altaf Ahmed</v>
          </cell>
          <cell r="F131">
            <v>5</v>
          </cell>
          <cell r="G131" t="str">
            <v>Naib Quasid</v>
          </cell>
          <cell r="H131"/>
          <cell r="J131"/>
        </row>
        <row r="132">
          <cell r="A132" t="str">
            <v>CH-010</v>
          </cell>
          <cell r="B132" t="str">
            <v>Chowkidar</v>
          </cell>
          <cell r="C132" t="str">
            <v>REC Sukkur Strong Room _ REC Sukkur</v>
          </cell>
          <cell r="D132" t="e">
            <v>#REF!</v>
          </cell>
          <cell r="E132" t="str">
            <v>Abdullah</v>
          </cell>
          <cell r="F132">
            <v>4</v>
          </cell>
          <cell r="G132" t="str">
            <v>Chowkidar</v>
          </cell>
          <cell r="H132"/>
          <cell r="J132"/>
        </row>
        <row r="133">
          <cell r="A133" t="str">
            <v>JPA-007</v>
          </cell>
          <cell r="B133" t="str">
            <v>Junior Personal Assistant (Law Officer)</v>
          </cell>
          <cell r="C133" t="str">
            <v>AD (Law) REC Sukkur _ REC Sukkur</v>
          </cell>
          <cell r="D133" t="e">
            <v>#REF!</v>
          </cell>
          <cell r="E133" t="str">
            <v>Babar Malik</v>
          </cell>
          <cell r="F133">
            <v>15</v>
          </cell>
          <cell r="G133" t="str">
            <v>Junior Personal Assistant (Law Officer)</v>
          </cell>
          <cell r="H133"/>
          <cell r="J133"/>
        </row>
        <row r="134">
          <cell r="A134" t="str">
            <v>NQ-028</v>
          </cell>
          <cell r="B134" t="str">
            <v>Naib Quasid (Law)</v>
          </cell>
          <cell r="C134" t="str">
            <v>AD (Law) REC Sukkur _ REC Sukkur</v>
          </cell>
          <cell r="D134" t="e">
            <v>#REF!</v>
          </cell>
          <cell r="E134" t="str">
            <v>Ahsan Ali</v>
          </cell>
          <cell r="F134">
            <v>4</v>
          </cell>
          <cell r="G134" t="str">
            <v>Naib Quasid (Law)</v>
          </cell>
          <cell r="H134"/>
          <cell r="J134"/>
        </row>
        <row r="135">
          <cell r="A135" t="str">
            <v>SA-016</v>
          </cell>
          <cell r="B135" t="str">
            <v>Senior Assistant</v>
          </cell>
          <cell r="C135" t="str">
            <v>DEC Sukkur _ REC Sukkur</v>
          </cell>
          <cell r="D135" t="e">
            <v>#REF!</v>
          </cell>
          <cell r="E135" t="str">
            <v>Muneer Ahmed</v>
          </cell>
          <cell r="F135">
            <v>16</v>
          </cell>
          <cell r="G135" t="str">
            <v>Senior Assistant</v>
          </cell>
          <cell r="H135"/>
          <cell r="J135"/>
        </row>
        <row r="136">
          <cell r="A136" t="str">
            <v>DEO-011</v>
          </cell>
          <cell r="B136" t="str">
            <v xml:space="preserve">Data Entry Operator </v>
          </cell>
          <cell r="C136" t="str">
            <v>DEC Sukkur _ REC Sukkur</v>
          </cell>
          <cell r="D136" t="e">
            <v>#REF!</v>
          </cell>
          <cell r="E136" t="str">
            <v>Imran Ali</v>
          </cell>
          <cell r="F136">
            <v>15</v>
          </cell>
          <cell r="G136" t="str">
            <v xml:space="preserve">Data Entry Operator </v>
          </cell>
          <cell r="H136"/>
          <cell r="J136"/>
        </row>
        <row r="137">
          <cell r="A137" t="str">
            <v>DEO-012</v>
          </cell>
          <cell r="B137" t="str">
            <v xml:space="preserve">Data Entry Operator </v>
          </cell>
          <cell r="C137" t="str">
            <v>DEC Sukkur _ REC Sukkur</v>
          </cell>
          <cell r="D137" t="e">
            <v>#REF!</v>
          </cell>
          <cell r="E137" t="str">
            <v>Ahmed Ali</v>
          </cell>
          <cell r="F137">
            <v>15</v>
          </cell>
          <cell r="G137" t="str">
            <v xml:space="preserve">Data Entry Operator </v>
          </cell>
          <cell r="H137"/>
          <cell r="J137"/>
        </row>
        <row r="138">
          <cell r="A138" t="str">
            <v>DEO-013</v>
          </cell>
          <cell r="B138" t="str">
            <v xml:space="preserve">Data Entry Operator </v>
          </cell>
          <cell r="C138" t="str">
            <v>DEC Sukkur _ REC Sukkur</v>
          </cell>
          <cell r="D138" t="e">
            <v>#REF!</v>
          </cell>
          <cell r="E138" t="str">
            <v>Shafique Ahmed</v>
          </cell>
          <cell r="F138">
            <v>15</v>
          </cell>
          <cell r="G138" t="str">
            <v xml:space="preserve">Data Entry Operator </v>
          </cell>
          <cell r="H138"/>
          <cell r="J138"/>
        </row>
        <row r="139">
          <cell r="A139" t="str">
            <v>JA-019</v>
          </cell>
          <cell r="B139" t="str">
            <v>Junior Assistant</v>
          </cell>
          <cell r="C139" t="str">
            <v>DEC Ghotki _ REC Sukkur</v>
          </cell>
          <cell r="D139" t="e">
            <v>#REF!</v>
          </cell>
          <cell r="E139" t="str">
            <v>Qamaruddin</v>
          </cell>
          <cell r="F139">
            <v>13</v>
          </cell>
          <cell r="G139" t="str">
            <v>Junior Assistant</v>
          </cell>
          <cell r="H139"/>
          <cell r="J139"/>
        </row>
        <row r="140">
          <cell r="A140" t="str">
            <v>SUB-019</v>
          </cell>
          <cell r="B140" t="str">
            <v>Sub Assistant</v>
          </cell>
          <cell r="C140" t="str">
            <v>DEC Sukkur _ REC Sukkur</v>
          </cell>
          <cell r="D140" t="e">
            <v>#REF!</v>
          </cell>
          <cell r="E140" t="str">
            <v>Abdul Ghaffar Khaskheli</v>
          </cell>
          <cell r="F140">
            <v>11</v>
          </cell>
          <cell r="G140" t="str">
            <v>Sub Assistant</v>
          </cell>
          <cell r="H140"/>
          <cell r="J140"/>
        </row>
        <row r="141">
          <cell r="A141" t="str">
            <v>SUB-020</v>
          </cell>
          <cell r="B141" t="str">
            <v>Sub Assistant</v>
          </cell>
          <cell r="C141" t="str">
            <v>DEC Sukkur _ REC Sukkur</v>
          </cell>
          <cell r="D141" t="e">
            <v>#REF!</v>
          </cell>
          <cell r="E141" t="str">
            <v>Abdullah</v>
          </cell>
          <cell r="F141">
            <v>11</v>
          </cell>
          <cell r="G141" t="str">
            <v>Sub Assistant</v>
          </cell>
          <cell r="H141"/>
          <cell r="J141"/>
        </row>
        <row r="142">
          <cell r="A142" t="str">
            <v>SCD-007</v>
          </cell>
          <cell r="B142" t="str">
            <v>Staff Car Driver</v>
          </cell>
          <cell r="C142" t="str">
            <v>DEC Sukkur _ REC Sukkur</v>
          </cell>
          <cell r="D142" t="e">
            <v>#REF!</v>
          </cell>
          <cell r="E142" t="str">
            <v>Muhammad Iqbal</v>
          </cell>
          <cell r="F142">
            <v>7</v>
          </cell>
          <cell r="G142" t="str">
            <v>Staff Car Driver</v>
          </cell>
          <cell r="H142"/>
          <cell r="J142"/>
        </row>
        <row r="143">
          <cell r="A143" t="str">
            <v>CH-011</v>
          </cell>
          <cell r="B143" t="str">
            <v>Chowkidar</v>
          </cell>
          <cell r="C143" t="str">
            <v>DEC Sukkur _ REC Sukkur</v>
          </cell>
          <cell r="D143" t="e">
            <v>#REF!</v>
          </cell>
          <cell r="E143" t="str">
            <v>Sikandar Ali</v>
          </cell>
          <cell r="F143">
            <v>5</v>
          </cell>
          <cell r="G143" t="str">
            <v>Chowkidar</v>
          </cell>
          <cell r="H143"/>
          <cell r="J143"/>
        </row>
        <row r="144">
          <cell r="A144" t="str">
            <v>NQ-030</v>
          </cell>
          <cell r="B144" t="str">
            <v>Naib Quasid</v>
          </cell>
          <cell r="C144" t="str">
            <v>DEC Sukkur _ REC Sukkur</v>
          </cell>
          <cell r="D144" t="e">
            <v>#REF!</v>
          </cell>
          <cell r="E144" t="str">
            <v>Shabbir Ahmed Bhayo</v>
          </cell>
          <cell r="F144">
            <v>5</v>
          </cell>
          <cell r="G144" t="str">
            <v>Naib Quasid</v>
          </cell>
          <cell r="H144"/>
          <cell r="J144"/>
        </row>
        <row r="145">
          <cell r="A145" t="str">
            <v>CH-012</v>
          </cell>
          <cell r="B145" t="str">
            <v>Chowkidar</v>
          </cell>
          <cell r="C145" t="str">
            <v>DEC Sukkur _ REC Sukkur</v>
          </cell>
          <cell r="D145" t="e">
            <v>#REF!</v>
          </cell>
          <cell r="E145" t="str">
            <v>Manzoor Ahmed Kalhoro</v>
          </cell>
          <cell r="F145">
            <v>4</v>
          </cell>
          <cell r="G145" t="str">
            <v>Chowkidar</v>
          </cell>
          <cell r="H145"/>
          <cell r="J145"/>
        </row>
        <row r="146">
          <cell r="A146" t="str">
            <v>NQ-031</v>
          </cell>
          <cell r="B146" t="str">
            <v>Naib Quasid</v>
          </cell>
          <cell r="C146" t="str">
            <v>DEC Sukkur _ REC Sukkur</v>
          </cell>
          <cell r="D146" t="e">
            <v>#REF!</v>
          </cell>
          <cell r="E146" t="str">
            <v>Muzafar Hussain Solangi</v>
          </cell>
          <cell r="F146">
            <v>4</v>
          </cell>
          <cell r="G146" t="str">
            <v>Naib Quasid</v>
          </cell>
          <cell r="H146"/>
          <cell r="J146"/>
        </row>
        <row r="147">
          <cell r="A147" t="str">
            <v>SA-017</v>
          </cell>
          <cell r="B147" t="str">
            <v>Senior Assistant</v>
          </cell>
          <cell r="C147" t="str">
            <v>DEC Ghotki _ REC Sukkur</v>
          </cell>
          <cell r="D147" t="e">
            <v>#REF!</v>
          </cell>
          <cell r="E147" t="str">
            <v>Munawar Hussain</v>
          </cell>
          <cell r="F147">
            <v>16</v>
          </cell>
          <cell r="G147" t="str">
            <v>Senior Assistant</v>
          </cell>
          <cell r="H147"/>
          <cell r="J147"/>
        </row>
        <row r="148">
          <cell r="A148" t="str">
            <v>DEO-014</v>
          </cell>
          <cell r="B148" t="str">
            <v xml:space="preserve">Data Entry Operator </v>
          </cell>
          <cell r="C148" t="str">
            <v>DEC Ghotki _ REC Sukkur</v>
          </cell>
          <cell r="D148" t="e">
            <v>#REF!</v>
          </cell>
          <cell r="E148" t="str">
            <v>Inayatullah</v>
          </cell>
          <cell r="F148">
            <v>15</v>
          </cell>
          <cell r="G148" t="str">
            <v xml:space="preserve">Data Entry Operator </v>
          </cell>
          <cell r="H148"/>
          <cell r="J148"/>
        </row>
        <row r="149">
          <cell r="A149" t="str">
            <v>DEO-016</v>
          </cell>
          <cell r="B149" t="str">
            <v xml:space="preserve">Data Entry Operator </v>
          </cell>
          <cell r="C149" t="str">
            <v>DEC Ghotki _ REC Sukkur</v>
          </cell>
          <cell r="D149" t="e">
            <v>#REF!</v>
          </cell>
          <cell r="E149" t="str">
            <v>Mehar Mahar</v>
          </cell>
          <cell r="F149">
            <v>15</v>
          </cell>
          <cell r="G149" t="str">
            <v xml:space="preserve">Data Entry Operator </v>
          </cell>
          <cell r="H149"/>
          <cell r="J149"/>
        </row>
        <row r="150">
          <cell r="A150" t="str">
            <v>DEO-015</v>
          </cell>
          <cell r="B150" t="str">
            <v xml:space="preserve">Data Entry Operator </v>
          </cell>
          <cell r="C150" t="str">
            <v>DEC Ghotki _ REC Sukkur</v>
          </cell>
          <cell r="D150" t="e">
            <v>#REF!</v>
          </cell>
          <cell r="E150" t="str">
            <v>Vacant</v>
          </cell>
          <cell r="F150">
            <v>14</v>
          </cell>
          <cell r="G150" t="str">
            <v xml:space="preserve">Data Entry Operator </v>
          </cell>
          <cell r="H150"/>
          <cell r="J150"/>
        </row>
        <row r="151">
          <cell r="A151" t="str">
            <v>JA-020</v>
          </cell>
          <cell r="B151" t="str">
            <v>Junior Assistant</v>
          </cell>
          <cell r="C151" t="str">
            <v>DEC Sukkur _ REC Sukkur</v>
          </cell>
          <cell r="D151" t="e">
            <v>#REF!</v>
          </cell>
          <cell r="E151" t="str">
            <v>Sajid Ali</v>
          </cell>
          <cell r="F151">
            <v>13</v>
          </cell>
          <cell r="G151" t="str">
            <v>Junior Assistant</v>
          </cell>
          <cell r="H151"/>
          <cell r="J151"/>
        </row>
        <row r="152">
          <cell r="A152" t="str">
            <v>SUB-021</v>
          </cell>
          <cell r="B152" t="str">
            <v>Sub Assistant</v>
          </cell>
          <cell r="C152" t="str">
            <v>DEC Ghotki _ REC Sukkur</v>
          </cell>
          <cell r="D152" t="e">
            <v>#REF!</v>
          </cell>
          <cell r="E152" t="str">
            <v>Kashif</v>
          </cell>
          <cell r="F152">
            <v>11</v>
          </cell>
          <cell r="G152" t="str">
            <v>Sub Assistant</v>
          </cell>
          <cell r="H152"/>
          <cell r="J152"/>
        </row>
        <row r="153">
          <cell r="A153" t="str">
            <v>SUB-022</v>
          </cell>
          <cell r="B153" t="str">
            <v>Sub Assistant</v>
          </cell>
          <cell r="C153" t="str">
            <v>DEC Ghotki _ REC Sukkur</v>
          </cell>
          <cell r="D153" t="e">
            <v>#REF!</v>
          </cell>
          <cell r="E153" t="str">
            <v>Jazib Akhtar</v>
          </cell>
          <cell r="F153">
            <v>11</v>
          </cell>
          <cell r="G153" t="str">
            <v>Sub Assistant</v>
          </cell>
          <cell r="H153"/>
          <cell r="J153"/>
        </row>
        <row r="154">
          <cell r="A154" t="str">
            <v>SCD-008</v>
          </cell>
          <cell r="B154" t="str">
            <v>Staff Car Driver</v>
          </cell>
          <cell r="C154" t="str">
            <v>DEC Ghotki _ REC Sukkur</v>
          </cell>
          <cell r="D154" t="e">
            <v>#REF!</v>
          </cell>
          <cell r="E154" t="str">
            <v>Ayaz Ali Ulro</v>
          </cell>
          <cell r="F154">
            <v>7</v>
          </cell>
          <cell r="G154" t="str">
            <v>Staff Car Driver</v>
          </cell>
          <cell r="H154"/>
          <cell r="J154"/>
        </row>
        <row r="155">
          <cell r="A155" t="str">
            <v>NQ-032</v>
          </cell>
          <cell r="B155" t="str">
            <v>Naib Quasid</v>
          </cell>
          <cell r="C155" t="str">
            <v>DEC Ghotki _ REC Sukkur</v>
          </cell>
          <cell r="D155" t="e">
            <v>#REF!</v>
          </cell>
          <cell r="E155" t="str">
            <v>Noor Hassan</v>
          </cell>
          <cell r="F155">
            <v>5</v>
          </cell>
          <cell r="G155" t="str">
            <v>Naib Quasid</v>
          </cell>
          <cell r="H155"/>
          <cell r="J155"/>
        </row>
        <row r="156">
          <cell r="A156" t="str">
            <v>CH-013</v>
          </cell>
          <cell r="B156" t="str">
            <v>Chowkidar</v>
          </cell>
          <cell r="C156" t="str">
            <v>DEC Ghotki _ REC Sukkur</v>
          </cell>
          <cell r="D156" t="e">
            <v>#REF!</v>
          </cell>
          <cell r="E156" t="str">
            <v>Ahsan Ali</v>
          </cell>
          <cell r="F156">
            <v>4</v>
          </cell>
          <cell r="G156" t="str">
            <v>Chowkidar</v>
          </cell>
          <cell r="H156"/>
          <cell r="J156"/>
        </row>
        <row r="157">
          <cell r="A157" t="str">
            <v>CH-014</v>
          </cell>
          <cell r="B157" t="str">
            <v>Chowkidar</v>
          </cell>
          <cell r="C157" t="str">
            <v>DEC Ghotki _ REC Sukkur</v>
          </cell>
          <cell r="D157" t="e">
            <v>#REF!</v>
          </cell>
          <cell r="E157" t="str">
            <v>Ishtiaq Hussain</v>
          </cell>
          <cell r="F157">
            <v>4</v>
          </cell>
          <cell r="G157" t="str">
            <v>Chowkidar</v>
          </cell>
          <cell r="H157"/>
          <cell r="J157"/>
        </row>
        <row r="158">
          <cell r="A158" t="str">
            <v>NQ-033</v>
          </cell>
          <cell r="B158" t="str">
            <v>Naib Quasid</v>
          </cell>
          <cell r="C158" t="str">
            <v>DEC Ghotki _ REC Sukkur</v>
          </cell>
          <cell r="D158" t="e">
            <v>#REF!</v>
          </cell>
          <cell r="E158" t="str">
            <v>Muhammad Sanaullah</v>
          </cell>
          <cell r="F158">
            <v>4</v>
          </cell>
          <cell r="G158" t="str">
            <v>Naib Quasid</v>
          </cell>
          <cell r="H158"/>
          <cell r="J158"/>
        </row>
        <row r="159">
          <cell r="A159" t="str">
            <v>DEO-017</v>
          </cell>
          <cell r="B159" t="str">
            <v xml:space="preserve">Data Entry Operator </v>
          </cell>
          <cell r="C159" t="str">
            <v>DEC Khairpur _ REC Sukkur</v>
          </cell>
          <cell r="D159" t="e">
            <v>#REF!</v>
          </cell>
          <cell r="E159" t="str">
            <v>Hafeez Ullah Bapar</v>
          </cell>
          <cell r="F159">
            <v>15</v>
          </cell>
          <cell r="G159" t="str">
            <v xml:space="preserve">Data Entry Operator </v>
          </cell>
          <cell r="H159"/>
          <cell r="J159"/>
        </row>
        <row r="160">
          <cell r="A160" t="str">
            <v>DEO-019</v>
          </cell>
          <cell r="B160" t="str">
            <v xml:space="preserve">Data Entry Operator </v>
          </cell>
          <cell r="C160" t="str">
            <v>DEC Khairpur _ REC Sukkur</v>
          </cell>
          <cell r="D160" t="e">
            <v>#REF!</v>
          </cell>
          <cell r="E160" t="str">
            <v>Atta-Mohsin</v>
          </cell>
          <cell r="F160">
            <v>15</v>
          </cell>
          <cell r="G160" t="str">
            <v xml:space="preserve">Data Entry Operator </v>
          </cell>
          <cell r="H160"/>
          <cell r="J160"/>
        </row>
        <row r="161">
          <cell r="A161" t="str">
            <v>SA-056</v>
          </cell>
          <cell r="B161" t="str">
            <v>Senior Assistant</v>
          </cell>
          <cell r="C161" t="str">
            <v>DEC Khairpur _ REC Sukkur</v>
          </cell>
          <cell r="D161" t="e">
            <v>#REF!</v>
          </cell>
          <cell r="E161" t="str">
            <v>Vacant</v>
          </cell>
          <cell r="F161">
            <v>15</v>
          </cell>
          <cell r="G161" t="str">
            <v>Senior Assistant</v>
          </cell>
          <cell r="H161"/>
          <cell r="J161"/>
        </row>
        <row r="162">
          <cell r="A162" t="str">
            <v>DEO-018</v>
          </cell>
          <cell r="B162" t="str">
            <v xml:space="preserve">Data Entry Operator </v>
          </cell>
          <cell r="C162" t="str">
            <v>DEC Khairpur _ REC Sukkur</v>
          </cell>
          <cell r="D162" t="e">
            <v>#REF!</v>
          </cell>
          <cell r="E162" t="str">
            <v>Raja Ahmed</v>
          </cell>
          <cell r="F162">
            <v>14</v>
          </cell>
          <cell r="G162" t="str">
            <v xml:space="preserve">Data Entry Operator </v>
          </cell>
          <cell r="H162"/>
          <cell r="J162"/>
        </row>
        <row r="163">
          <cell r="A163" t="str">
            <v>SUB-023</v>
          </cell>
          <cell r="B163" t="str">
            <v>Sub Assistant</v>
          </cell>
          <cell r="C163" t="str">
            <v>DEC Khairpur _ REC Sukkur</v>
          </cell>
          <cell r="D163" t="e">
            <v>#REF!</v>
          </cell>
          <cell r="E163" t="str">
            <v xml:space="preserve">Sarfaraz Ali </v>
          </cell>
          <cell r="F163">
            <v>11</v>
          </cell>
          <cell r="G163" t="str">
            <v>Sub Assistant</v>
          </cell>
          <cell r="H163"/>
          <cell r="J163"/>
        </row>
        <row r="164">
          <cell r="A164" t="str">
            <v>SUB-024</v>
          </cell>
          <cell r="B164" t="str">
            <v>Sub Assistant</v>
          </cell>
          <cell r="C164" t="str">
            <v>DEC Khairpur _ REC Sukkur</v>
          </cell>
          <cell r="D164" t="e">
            <v>#REF!</v>
          </cell>
          <cell r="E164" t="str">
            <v xml:space="preserve">Azhar Ali </v>
          </cell>
          <cell r="F164">
            <v>11</v>
          </cell>
          <cell r="G164" t="str">
            <v>Sub Assistant</v>
          </cell>
          <cell r="H164"/>
          <cell r="J164"/>
        </row>
        <row r="165">
          <cell r="A165" t="str">
            <v>SCD-009</v>
          </cell>
          <cell r="B165" t="str">
            <v>Staff Car Driver</v>
          </cell>
          <cell r="C165" t="str">
            <v>DEC Khairpur _ REC Sukkur</v>
          </cell>
          <cell r="D165" t="e">
            <v>#REF!</v>
          </cell>
          <cell r="E165" t="str">
            <v>Nazir Ali Baloch</v>
          </cell>
          <cell r="F165">
            <v>7</v>
          </cell>
          <cell r="G165" t="str">
            <v>Staff Car Driver</v>
          </cell>
          <cell r="H165"/>
          <cell r="I165"/>
          <cell r="J165"/>
        </row>
        <row r="166">
          <cell r="A166" t="str">
            <v>NQ-034</v>
          </cell>
          <cell r="B166" t="str">
            <v>Naib Quasid</v>
          </cell>
          <cell r="C166" t="str">
            <v>DEC Khairpur _ REC Sukkur</v>
          </cell>
          <cell r="D166" t="e">
            <v>#REF!</v>
          </cell>
          <cell r="E166" t="str">
            <v>Muhammad Ismail Channa</v>
          </cell>
          <cell r="F166">
            <v>5</v>
          </cell>
          <cell r="G166" t="str">
            <v>Naib Quasid</v>
          </cell>
          <cell r="H166"/>
          <cell r="I166"/>
          <cell r="J166"/>
        </row>
        <row r="167">
          <cell r="A167" t="str">
            <v>CH-015</v>
          </cell>
          <cell r="B167" t="str">
            <v>Chowkidar</v>
          </cell>
          <cell r="C167" t="str">
            <v>DEC Khairpur _ REC Sukkur</v>
          </cell>
          <cell r="D167" t="e">
            <v>#REF!</v>
          </cell>
          <cell r="E167" t="str">
            <v>Ali Hassan Kalhoro</v>
          </cell>
          <cell r="F167">
            <v>4</v>
          </cell>
          <cell r="G167" t="str">
            <v>Chowkidar</v>
          </cell>
          <cell r="H167"/>
          <cell r="J167"/>
        </row>
        <row r="168">
          <cell r="A168" t="str">
            <v>NQ-035</v>
          </cell>
          <cell r="B168" t="str">
            <v>Naib Quasid</v>
          </cell>
          <cell r="C168" t="str">
            <v>DEC Khairpur _ REC Sukkur</v>
          </cell>
          <cell r="D168" t="e">
            <v>#REF!</v>
          </cell>
          <cell r="E168" t="str">
            <v>Abdul Qudoos</v>
          </cell>
          <cell r="F168">
            <v>4</v>
          </cell>
          <cell r="G168" t="str">
            <v>Naib Quasid</v>
          </cell>
          <cell r="H168"/>
          <cell r="J168"/>
        </row>
        <row r="169">
          <cell r="A169" t="str">
            <v>JA-029</v>
          </cell>
          <cell r="B169" t="str">
            <v>Junior Assistant</v>
          </cell>
          <cell r="C169" t="str">
            <v>DEC Khairpur _ REC Sukkur</v>
          </cell>
          <cell r="D169" t="e">
            <v>#REF!</v>
          </cell>
          <cell r="E169" t="str">
            <v>Wajid Ali Larik</v>
          </cell>
          <cell r="F169">
            <v>13</v>
          </cell>
          <cell r="G169" t="str">
            <v>Junior Assistant</v>
          </cell>
          <cell r="H169"/>
          <cell r="J169"/>
        </row>
        <row r="170">
          <cell r="A170" t="str">
            <v>DAD-002</v>
          </cell>
          <cell r="B170" t="str">
            <v>Deputy Assistant Director</v>
          </cell>
          <cell r="C170" t="str">
            <v>REC Shaheed Benazirabad _ REC SBA</v>
          </cell>
          <cell r="D170" t="e">
            <v>#REF!</v>
          </cell>
          <cell r="E170" t="str">
            <v>Abdul Samad</v>
          </cell>
          <cell r="F170">
            <v>16</v>
          </cell>
          <cell r="G170" t="str">
            <v>Deputy Assistant Director</v>
          </cell>
          <cell r="H170">
            <v>1</v>
          </cell>
          <cell r="I170">
            <v>0.9</v>
          </cell>
          <cell r="J170" t="str">
            <v>A++ Grade</v>
          </cell>
        </row>
        <row r="171">
          <cell r="A171" t="str">
            <v>SA-019</v>
          </cell>
          <cell r="B171" t="str">
            <v>Senior Assistant</v>
          </cell>
          <cell r="C171" t="str">
            <v>REC Shaheed Benazirabad _ REC SBA</v>
          </cell>
          <cell r="D171" t="e">
            <v>#REF!</v>
          </cell>
          <cell r="E171" t="str">
            <v>Amjad Ali</v>
          </cell>
          <cell r="F171">
            <v>15</v>
          </cell>
          <cell r="G171" t="str">
            <v>Senior Assistant</v>
          </cell>
          <cell r="H171">
            <v>1</v>
          </cell>
          <cell r="I171">
            <v>0.75</v>
          </cell>
          <cell r="J171" t="str">
            <v>A Grade</v>
          </cell>
        </row>
        <row r="172">
          <cell r="A172" t="str">
            <v>SPA-005</v>
          </cell>
          <cell r="B172" t="str">
            <v xml:space="preserve">Senior Personal Assistant </v>
          </cell>
          <cell r="C172" t="str">
            <v>REC Shaheed Benazirabad _ REC SBA</v>
          </cell>
          <cell r="D172" t="e">
            <v>#REF!</v>
          </cell>
          <cell r="E172" t="str">
            <v>Vacant</v>
          </cell>
          <cell r="F172">
            <v>16</v>
          </cell>
          <cell r="G172" t="str">
            <v xml:space="preserve">Senior Personal Assistant </v>
          </cell>
          <cell r="H172"/>
          <cell r="J172"/>
        </row>
        <row r="173">
          <cell r="A173" t="str">
            <v>DEO-020</v>
          </cell>
          <cell r="B173" t="str">
            <v xml:space="preserve">Data Entry Operator </v>
          </cell>
          <cell r="C173" t="str">
            <v>REC Shaheed Benazirabad _ REC SBA</v>
          </cell>
          <cell r="D173" t="e">
            <v>#REF!</v>
          </cell>
          <cell r="E173" t="str">
            <v>Muhammad Hassan Shafique</v>
          </cell>
          <cell r="F173">
            <v>15</v>
          </cell>
          <cell r="G173" t="str">
            <v xml:space="preserve">Data Entry Operator </v>
          </cell>
          <cell r="H173">
            <v>1</v>
          </cell>
          <cell r="I173">
            <v>0.78</v>
          </cell>
          <cell r="J173" t="str">
            <v>A Grade</v>
          </cell>
        </row>
        <row r="174">
          <cell r="A174" t="str">
            <v>JA-022</v>
          </cell>
          <cell r="B174" t="str">
            <v>Junior Assistant</v>
          </cell>
          <cell r="C174" t="str">
            <v>REC Shaheed Benazirabad _ REC SBA</v>
          </cell>
          <cell r="D174" t="e">
            <v>#REF!</v>
          </cell>
          <cell r="E174" t="str">
            <v>Vacant</v>
          </cell>
          <cell r="F174">
            <v>13</v>
          </cell>
          <cell r="G174" t="str">
            <v>Junior Assistant</v>
          </cell>
          <cell r="H174"/>
          <cell r="J174"/>
        </row>
        <row r="175">
          <cell r="A175" t="str">
            <v>SUB-025</v>
          </cell>
          <cell r="B175" t="str">
            <v>Sub Assistant</v>
          </cell>
          <cell r="C175" t="str">
            <v>REC Shaheed Benazirabad _ REC SBA</v>
          </cell>
          <cell r="D175" t="e">
            <v>#REF!</v>
          </cell>
          <cell r="E175" t="str">
            <v>Hassan Ali Memon</v>
          </cell>
          <cell r="F175">
            <v>11</v>
          </cell>
          <cell r="G175" t="str">
            <v>Sub Assistant</v>
          </cell>
          <cell r="H175">
            <v>1</v>
          </cell>
          <cell r="I175">
            <v>0.7</v>
          </cell>
          <cell r="J175" t="str">
            <v>A Grade</v>
          </cell>
        </row>
        <row r="176">
          <cell r="A176" t="str">
            <v>DR-004</v>
          </cell>
          <cell r="B176" t="str">
            <v>Dispatch Rider</v>
          </cell>
          <cell r="C176" t="str">
            <v>REC Shaheed Benazirabad _ REC SBA</v>
          </cell>
          <cell r="D176" t="e">
            <v>#REF!</v>
          </cell>
          <cell r="E176" t="str">
            <v>Nadeem Ahmed</v>
          </cell>
          <cell r="F176">
            <v>7</v>
          </cell>
          <cell r="G176" t="str">
            <v>Dispatch Rider</v>
          </cell>
          <cell r="H176">
            <v>1</v>
          </cell>
          <cell r="I176">
            <v>0.7</v>
          </cell>
          <cell r="J176" t="str">
            <v>A Grade</v>
          </cell>
        </row>
        <row r="177">
          <cell r="A177" t="str">
            <v>SCD-010</v>
          </cell>
          <cell r="B177" t="str">
            <v>Staff Car Driver</v>
          </cell>
          <cell r="C177" t="str">
            <v>REC Shaheed Benazirabad _ REC SBA</v>
          </cell>
          <cell r="D177" t="e">
            <v>#REF!</v>
          </cell>
          <cell r="E177" t="str">
            <v>Imran Mallah</v>
          </cell>
          <cell r="F177">
            <v>7</v>
          </cell>
          <cell r="G177" t="str">
            <v>Staff Car Driver</v>
          </cell>
          <cell r="H177">
            <v>1</v>
          </cell>
          <cell r="I177">
            <v>0.73</v>
          </cell>
          <cell r="J177" t="str">
            <v>A Grade</v>
          </cell>
        </row>
        <row r="178">
          <cell r="A178" t="str">
            <v>CH-016</v>
          </cell>
          <cell r="B178" t="str">
            <v>Chowkidar</v>
          </cell>
          <cell r="C178" t="str">
            <v>REC Shaheed Benazirabad _ REC SBA</v>
          </cell>
          <cell r="D178" t="e">
            <v>#REF!</v>
          </cell>
          <cell r="E178" t="str">
            <v>Fida Hussain</v>
          </cell>
          <cell r="F178">
            <v>4</v>
          </cell>
          <cell r="G178" t="str">
            <v>Chowkidar</v>
          </cell>
          <cell r="H178">
            <v>1</v>
          </cell>
          <cell r="I178">
            <v>0.7</v>
          </cell>
          <cell r="J178" t="str">
            <v>A Grade</v>
          </cell>
        </row>
        <row r="179">
          <cell r="A179" t="str">
            <v>NQ-036</v>
          </cell>
          <cell r="B179" t="str">
            <v>Naib Quasid</v>
          </cell>
          <cell r="C179" t="str">
            <v>REC Shaheed Benazirabad _ REC SBA</v>
          </cell>
          <cell r="D179" t="e">
            <v>#REF!</v>
          </cell>
          <cell r="E179" t="str">
            <v>Muhammad Tariq Bhutta</v>
          </cell>
          <cell r="F179">
            <v>4</v>
          </cell>
          <cell r="G179" t="str">
            <v>Naib Quasid</v>
          </cell>
          <cell r="H179">
            <v>1</v>
          </cell>
          <cell r="I179">
            <v>0.78</v>
          </cell>
          <cell r="J179" t="str">
            <v>A Grade</v>
          </cell>
        </row>
        <row r="180">
          <cell r="A180" t="str">
            <v>SA-020</v>
          </cell>
          <cell r="B180" t="str">
            <v>Senior Assistant</v>
          </cell>
          <cell r="C180" t="str">
            <v>REC Shaheed Benazirabad Strong Room _ REC SBA</v>
          </cell>
          <cell r="D180" t="e">
            <v>#REF!</v>
          </cell>
          <cell r="E180" t="str">
            <v>Abdul Hafeez</v>
          </cell>
          <cell r="F180">
            <v>16</v>
          </cell>
          <cell r="G180" t="str">
            <v>Senior Assistant</v>
          </cell>
          <cell r="H180">
            <v>1</v>
          </cell>
          <cell r="I180">
            <v>0.75</v>
          </cell>
          <cell r="J180" t="str">
            <v>A Grade</v>
          </cell>
        </row>
        <row r="181">
          <cell r="A181" t="str">
            <v>JA-023</v>
          </cell>
          <cell r="B181" t="str">
            <v>Junior Assistant</v>
          </cell>
          <cell r="C181" t="str">
            <v>REC Shaheed Benazirabad Strong Room _ REC SBA</v>
          </cell>
          <cell r="D181" t="e">
            <v>#REF!</v>
          </cell>
          <cell r="E181" t="str">
            <v>Farhad Ali</v>
          </cell>
          <cell r="F181">
            <v>13</v>
          </cell>
          <cell r="G181" t="str">
            <v>Junior Assistant</v>
          </cell>
          <cell r="H181">
            <v>1</v>
          </cell>
          <cell r="I181">
            <v>0.9</v>
          </cell>
          <cell r="J181" t="str">
            <v>A++ Grade</v>
          </cell>
        </row>
        <row r="182">
          <cell r="A182" t="str">
            <v>CH-017</v>
          </cell>
          <cell r="B182" t="str">
            <v>Chowkidar</v>
          </cell>
          <cell r="C182" t="str">
            <v>REC Shaheed Benazirabad Strong Room _ REC SBA</v>
          </cell>
          <cell r="D182" t="e">
            <v>#REF!</v>
          </cell>
          <cell r="E182" t="str">
            <v xml:space="preserve">Imtiaz Ali Keerio </v>
          </cell>
          <cell r="F182">
            <v>4</v>
          </cell>
          <cell r="G182" t="str">
            <v>Chowkidar</v>
          </cell>
          <cell r="H182">
            <v>1</v>
          </cell>
          <cell r="I182">
            <v>0.65</v>
          </cell>
          <cell r="J182" t="str">
            <v>B Grade</v>
          </cell>
        </row>
        <row r="183">
          <cell r="A183" t="str">
            <v>NQ-037</v>
          </cell>
          <cell r="B183" t="str">
            <v>Naib Quasid</v>
          </cell>
          <cell r="C183" t="str">
            <v>REC Shaheed Benazirabad Strong Room _ REC SBA</v>
          </cell>
          <cell r="D183" t="e">
            <v>#REF!</v>
          </cell>
          <cell r="E183" t="str">
            <v>Aamir Khan</v>
          </cell>
          <cell r="F183">
            <v>2</v>
          </cell>
          <cell r="G183" t="str">
            <v>Naib Quasid</v>
          </cell>
          <cell r="H183">
            <v>1</v>
          </cell>
          <cell r="I183">
            <v>0.72</v>
          </cell>
          <cell r="J183" t="str">
            <v>A Grade</v>
          </cell>
        </row>
        <row r="184">
          <cell r="A184" t="str">
            <v>SA-021</v>
          </cell>
          <cell r="B184" t="str">
            <v>Senior Assistant</v>
          </cell>
          <cell r="C184" t="str">
            <v>DEC Shaheed Benazirabad _ REC SBA</v>
          </cell>
          <cell r="D184" t="e">
            <v>#REF!</v>
          </cell>
          <cell r="E184" t="str">
            <v>Shahzad Ali Khan Bhatti</v>
          </cell>
          <cell r="F184">
            <v>16</v>
          </cell>
          <cell r="G184" t="str">
            <v>Senior Assistant</v>
          </cell>
          <cell r="H184">
            <v>2</v>
          </cell>
          <cell r="I184">
            <v>0.8</v>
          </cell>
          <cell r="J184" t="str">
            <v>A++ Grade</v>
          </cell>
        </row>
        <row r="185">
          <cell r="A185" t="str">
            <v>DEO-021</v>
          </cell>
          <cell r="B185" t="str">
            <v xml:space="preserve">Data Entry Operator </v>
          </cell>
          <cell r="C185" t="str">
            <v>DEC Shaheed Benazirabad _ REC SBA</v>
          </cell>
          <cell r="D185" t="e">
            <v>#REF!</v>
          </cell>
          <cell r="E185" t="str">
            <v>Masroor Hussain Memon</v>
          </cell>
          <cell r="F185">
            <v>15</v>
          </cell>
          <cell r="G185" t="str">
            <v xml:space="preserve">Data Entry Operator </v>
          </cell>
          <cell r="H185">
            <v>1</v>
          </cell>
          <cell r="I185">
            <v>0.72</v>
          </cell>
          <cell r="J185" t="str">
            <v>A Grade</v>
          </cell>
        </row>
        <row r="186">
          <cell r="A186" t="str">
            <v>DEO-022</v>
          </cell>
          <cell r="B186" t="str">
            <v xml:space="preserve">Data Entry Operator </v>
          </cell>
          <cell r="C186" t="str">
            <v>DEC Shaheed Benazirabad _ REC SBA</v>
          </cell>
          <cell r="D186" t="e">
            <v>#REF!</v>
          </cell>
          <cell r="E186" t="str">
            <v>Ali Raza</v>
          </cell>
          <cell r="F186">
            <v>15</v>
          </cell>
          <cell r="G186" t="str">
            <v xml:space="preserve">Data Entry Operator </v>
          </cell>
          <cell r="H186">
            <v>1</v>
          </cell>
          <cell r="I186">
            <v>0.8</v>
          </cell>
          <cell r="J186" t="str">
            <v>A+ Grade</v>
          </cell>
        </row>
        <row r="187">
          <cell r="A187" t="str">
            <v>DEO-023</v>
          </cell>
          <cell r="B187" t="str">
            <v xml:space="preserve">Data Entry Operator </v>
          </cell>
          <cell r="C187" t="str">
            <v>DEC Shaheed Benazirabad _ REC SBA</v>
          </cell>
          <cell r="D187" t="e">
            <v>#REF!</v>
          </cell>
          <cell r="E187" t="str">
            <v>Taimoor Ali</v>
          </cell>
          <cell r="F187">
            <v>14</v>
          </cell>
          <cell r="G187" t="str">
            <v xml:space="preserve">Data Entry Operator </v>
          </cell>
          <cell r="H187">
            <v>1</v>
          </cell>
          <cell r="I187">
            <v>0.85</v>
          </cell>
          <cell r="J187" t="str">
            <v>A+ Grade</v>
          </cell>
        </row>
        <row r="188">
          <cell r="A188" t="str">
            <v>JA-024</v>
          </cell>
          <cell r="B188" t="str">
            <v>Junior Assistant</v>
          </cell>
          <cell r="C188" t="str">
            <v>DEC Shaheed Benazirabad _ REC SBA</v>
          </cell>
          <cell r="D188" t="e">
            <v>#REF!</v>
          </cell>
          <cell r="E188" t="str">
            <v>Syed Sikandar Ali Shah</v>
          </cell>
          <cell r="F188">
            <v>13</v>
          </cell>
          <cell r="G188" t="str">
            <v>Junior Assistant</v>
          </cell>
          <cell r="H188">
            <v>1</v>
          </cell>
          <cell r="I188">
            <v>0.77</v>
          </cell>
          <cell r="J188" t="str">
            <v>A Grade</v>
          </cell>
        </row>
        <row r="189">
          <cell r="A189" t="str">
            <v>SUB-026</v>
          </cell>
          <cell r="B189" t="str">
            <v>Sub Assistant</v>
          </cell>
          <cell r="C189" t="str">
            <v>DEC Shaheed Benazirabad _ REC SBA</v>
          </cell>
          <cell r="D189" t="e">
            <v>#REF!</v>
          </cell>
          <cell r="E189" t="str">
            <v>Khalid Hassan Solangi</v>
          </cell>
          <cell r="F189">
            <v>11</v>
          </cell>
          <cell r="G189" t="str">
            <v>Sub Assistant</v>
          </cell>
          <cell r="H189">
            <v>1</v>
          </cell>
          <cell r="I189">
            <v>0.8</v>
          </cell>
          <cell r="J189" t="str">
            <v>A+ Grade</v>
          </cell>
        </row>
        <row r="190">
          <cell r="A190" t="str">
            <v>SUB-027</v>
          </cell>
          <cell r="B190" t="str">
            <v>Sub Assistant</v>
          </cell>
          <cell r="C190" t="str">
            <v>DEC Shaheed Benazirabad _ REC SBA</v>
          </cell>
          <cell r="D190" t="e">
            <v>#REF!</v>
          </cell>
          <cell r="E190" t="str">
            <v>Muhammad Saleem</v>
          </cell>
          <cell r="F190">
            <v>11</v>
          </cell>
          <cell r="G190" t="str">
            <v>Sub Assistant</v>
          </cell>
          <cell r="H190">
            <v>1</v>
          </cell>
          <cell r="I190">
            <v>0.73</v>
          </cell>
          <cell r="J190" t="str">
            <v>A Grade</v>
          </cell>
        </row>
        <row r="191">
          <cell r="A191" t="str">
            <v>SCD-011</v>
          </cell>
          <cell r="B191" t="str">
            <v>Staff Car Driver</v>
          </cell>
          <cell r="C191" t="str">
            <v>DEC Shaheed Benazirabad _ REC SBA</v>
          </cell>
          <cell r="D191" t="e">
            <v>#REF!</v>
          </cell>
          <cell r="E191" t="str">
            <v>Shoukat Ali Keerio</v>
          </cell>
          <cell r="F191">
            <v>7</v>
          </cell>
          <cell r="G191" t="str">
            <v>Staff Car Driver</v>
          </cell>
          <cell r="H191">
            <v>1</v>
          </cell>
          <cell r="I191">
            <v>0.63</v>
          </cell>
          <cell r="J191" t="str">
            <v>B Grade</v>
          </cell>
        </row>
        <row r="192">
          <cell r="A192" t="str">
            <v>CH-018</v>
          </cell>
          <cell r="B192" t="str">
            <v>Chowkidar</v>
          </cell>
          <cell r="C192" t="str">
            <v>DEC Shaheed Benazirabad _ REC SBA</v>
          </cell>
          <cell r="D192" t="e">
            <v>#REF!</v>
          </cell>
          <cell r="E192" t="str">
            <v xml:space="preserve">Syed Azam Shah </v>
          </cell>
          <cell r="F192">
            <v>4</v>
          </cell>
          <cell r="G192" t="str">
            <v>Chowkidar</v>
          </cell>
          <cell r="H192">
            <v>1</v>
          </cell>
          <cell r="I192">
            <v>0.75</v>
          </cell>
          <cell r="J192" t="str">
            <v>A Grade</v>
          </cell>
        </row>
        <row r="193">
          <cell r="A193" t="str">
            <v>CH-019</v>
          </cell>
          <cell r="B193" t="str">
            <v>Chowkidar</v>
          </cell>
          <cell r="C193" t="str">
            <v>DEC Shaheed Benazirabad _ REC SBA</v>
          </cell>
          <cell r="D193" t="e">
            <v>#REF!</v>
          </cell>
          <cell r="E193" t="str">
            <v>Yasir Ali</v>
          </cell>
          <cell r="F193">
            <v>4</v>
          </cell>
          <cell r="G193" t="str">
            <v>Chowkidar</v>
          </cell>
          <cell r="H193">
            <v>1</v>
          </cell>
          <cell r="I193">
            <v>0.6</v>
          </cell>
          <cell r="J193" t="str">
            <v>B Grade</v>
          </cell>
        </row>
        <row r="194">
          <cell r="A194" t="str">
            <v>NQ-039</v>
          </cell>
          <cell r="B194" t="str">
            <v>Naib Quasid</v>
          </cell>
          <cell r="C194" t="str">
            <v>DEC Shaheed Benazirabad _ REC SBA</v>
          </cell>
          <cell r="D194" t="e">
            <v>#REF!</v>
          </cell>
          <cell r="E194" t="str">
            <v>Abdul Manan</v>
          </cell>
          <cell r="F194">
            <v>4</v>
          </cell>
          <cell r="G194" t="str">
            <v>Naib Quasid</v>
          </cell>
          <cell r="H194">
            <v>1</v>
          </cell>
          <cell r="I194">
            <v>0.75</v>
          </cell>
          <cell r="J194" t="str">
            <v>A Grade</v>
          </cell>
        </row>
        <row r="195">
          <cell r="A195" t="str">
            <v>NQ-038</v>
          </cell>
          <cell r="B195" t="str">
            <v>Naib Quasid</v>
          </cell>
          <cell r="C195" t="str">
            <v>DEC Shaheed Benazirabad _ REC SBA</v>
          </cell>
          <cell r="D195" t="e">
            <v>#REF!</v>
          </cell>
          <cell r="E195" t="str">
            <v>Muhammad Awais</v>
          </cell>
          <cell r="F195">
            <v>2</v>
          </cell>
          <cell r="G195" t="str">
            <v>Naib Quasid</v>
          </cell>
          <cell r="H195"/>
          <cell r="J195"/>
        </row>
        <row r="196">
          <cell r="A196" t="str">
            <v>SA-022</v>
          </cell>
          <cell r="B196" t="str">
            <v>Senior Assistant</v>
          </cell>
          <cell r="C196" t="str">
            <v>DEC Sanghar _ REC SBA</v>
          </cell>
          <cell r="D196" t="e">
            <v>#REF!</v>
          </cell>
          <cell r="E196" t="str">
            <v>Saima Sattar Arain</v>
          </cell>
          <cell r="F196">
            <v>16</v>
          </cell>
          <cell r="G196" t="str">
            <v>Senior Assistant</v>
          </cell>
          <cell r="H196">
            <v>1</v>
          </cell>
          <cell r="I196">
            <v>0.78</v>
          </cell>
          <cell r="J196" t="str">
            <v>A Grade</v>
          </cell>
        </row>
        <row r="197">
          <cell r="A197" t="str">
            <v>DEO-024</v>
          </cell>
          <cell r="B197" t="str">
            <v xml:space="preserve">Data Entry Operator </v>
          </cell>
          <cell r="C197" t="str">
            <v>DEC Sanghar _ REC SBA</v>
          </cell>
          <cell r="D197" t="e">
            <v>#REF!</v>
          </cell>
          <cell r="E197" t="str">
            <v>Asif Nawaz Hashmani</v>
          </cell>
          <cell r="F197">
            <v>15</v>
          </cell>
          <cell r="G197" t="str">
            <v xml:space="preserve">Data Entry Operator </v>
          </cell>
          <cell r="H197">
            <v>1</v>
          </cell>
          <cell r="I197">
            <v>0.85</v>
          </cell>
          <cell r="J197" t="str">
            <v>A+ Grade</v>
          </cell>
        </row>
        <row r="198">
          <cell r="A198" t="str">
            <v>DEO-025</v>
          </cell>
          <cell r="B198" t="str">
            <v xml:space="preserve">Data Entry Operator </v>
          </cell>
          <cell r="C198" t="str">
            <v>DEC Sanghar _ REC SBA</v>
          </cell>
          <cell r="D198" t="e">
            <v>#REF!</v>
          </cell>
          <cell r="E198" t="str">
            <v>Vacant</v>
          </cell>
          <cell r="F198">
            <v>14</v>
          </cell>
          <cell r="G198" t="str">
            <v xml:space="preserve">Data Entry Operator </v>
          </cell>
          <cell r="H198"/>
          <cell r="J198"/>
        </row>
        <row r="199">
          <cell r="A199" t="str">
            <v>DEO-026</v>
          </cell>
          <cell r="B199" t="str">
            <v xml:space="preserve">Data Entry Operator </v>
          </cell>
          <cell r="C199" t="str">
            <v>HR Pool</v>
          </cell>
          <cell r="D199" t="e">
            <v>#REF!</v>
          </cell>
          <cell r="E199" t="str">
            <v>Abdul Jabbar Dayo (Lien) (18-02-2025)</v>
          </cell>
          <cell r="F199">
            <v>15</v>
          </cell>
          <cell r="G199" t="str">
            <v xml:space="preserve">Data Entry Operator </v>
          </cell>
          <cell r="H199"/>
          <cell r="J199"/>
        </row>
        <row r="200">
          <cell r="A200" t="str">
            <v>JA-061</v>
          </cell>
          <cell r="B200" t="str">
            <v>Junior Assistant</v>
          </cell>
          <cell r="C200" t="str">
            <v>DEC Sanghar _ REC SBA</v>
          </cell>
          <cell r="D200" t="e">
            <v>#REF!</v>
          </cell>
          <cell r="E200" t="str">
            <v>Vacant</v>
          </cell>
          <cell r="F200">
            <v>11</v>
          </cell>
          <cell r="G200" t="str">
            <v>Junior Assistant</v>
          </cell>
          <cell r="H200"/>
          <cell r="J200"/>
        </row>
        <row r="201">
          <cell r="A201" t="str">
            <v>SUB-006</v>
          </cell>
          <cell r="B201" t="str">
            <v>Sub Assistant</v>
          </cell>
          <cell r="C201" t="str">
            <v>DEC Sanghar _ REC SBA</v>
          </cell>
          <cell r="D201" t="e">
            <v>#REF!</v>
          </cell>
          <cell r="E201" t="str">
            <v>Vacant</v>
          </cell>
          <cell r="F201">
            <v>11</v>
          </cell>
          <cell r="G201" t="str">
            <v>Sub Assistant</v>
          </cell>
          <cell r="H201"/>
          <cell r="J201"/>
        </row>
        <row r="202">
          <cell r="A202" t="str">
            <v>SUB-029</v>
          </cell>
          <cell r="B202" t="str">
            <v>Sub Assistant</v>
          </cell>
          <cell r="C202" t="str">
            <v>DEC Sanghar _ REC SBA</v>
          </cell>
          <cell r="D202" t="e">
            <v>#REF!</v>
          </cell>
          <cell r="E202" t="str">
            <v>Muzafar Ali</v>
          </cell>
          <cell r="F202">
            <v>11</v>
          </cell>
          <cell r="G202" t="str">
            <v>Sub Assistant</v>
          </cell>
          <cell r="H202">
            <v>1</v>
          </cell>
          <cell r="I202">
            <v>0.63</v>
          </cell>
          <cell r="J202" t="str">
            <v>B Grade</v>
          </cell>
        </row>
        <row r="203">
          <cell r="A203" t="str">
            <v>SCD-012</v>
          </cell>
          <cell r="B203" t="str">
            <v>Staff Car Driver</v>
          </cell>
          <cell r="C203" t="str">
            <v>DEC Sanghar _ REC SBA</v>
          </cell>
          <cell r="D203" t="e">
            <v>#REF!</v>
          </cell>
          <cell r="E203" t="str">
            <v>Liaquat Ali Leghari</v>
          </cell>
          <cell r="F203">
            <v>7</v>
          </cell>
          <cell r="G203" t="str">
            <v>Staff Car Driver</v>
          </cell>
          <cell r="H203">
            <v>1</v>
          </cell>
          <cell r="I203">
            <v>0.75</v>
          </cell>
          <cell r="J203" t="str">
            <v>A Grade</v>
          </cell>
        </row>
        <row r="204">
          <cell r="A204" t="str">
            <v>CH-020</v>
          </cell>
          <cell r="B204" t="str">
            <v>Chowkidar</v>
          </cell>
          <cell r="C204" t="str">
            <v>DEC Sanghar _ REC SBA</v>
          </cell>
          <cell r="D204" t="e">
            <v>#REF!</v>
          </cell>
          <cell r="E204" t="str">
            <v>Jan Muhammad</v>
          </cell>
          <cell r="F204">
            <v>5</v>
          </cell>
          <cell r="G204" t="str">
            <v>Chowkidar</v>
          </cell>
          <cell r="H204">
            <v>1</v>
          </cell>
          <cell r="I204">
            <v>0.7</v>
          </cell>
          <cell r="J204" t="str">
            <v>A Grade</v>
          </cell>
        </row>
        <row r="205">
          <cell r="A205" t="str">
            <v>NQ-040</v>
          </cell>
          <cell r="B205" t="str">
            <v>Naib Quasid</v>
          </cell>
          <cell r="C205" t="str">
            <v>DEC Sanghar _ REC SBA</v>
          </cell>
          <cell r="D205" t="e">
            <v>#REF!</v>
          </cell>
          <cell r="E205" t="str">
            <v>Muhammad Ali</v>
          </cell>
          <cell r="F205">
            <v>5</v>
          </cell>
          <cell r="G205" t="str">
            <v>Naib Quasid</v>
          </cell>
          <cell r="H205">
            <v>1</v>
          </cell>
          <cell r="I205">
            <v>0.67</v>
          </cell>
          <cell r="J205" t="str">
            <v>B Grade</v>
          </cell>
        </row>
        <row r="206">
          <cell r="A206" t="str">
            <v>CH-021</v>
          </cell>
          <cell r="B206" t="str">
            <v>Chowkidar</v>
          </cell>
          <cell r="C206" t="str">
            <v>DEC Sanghar _ REC SBA</v>
          </cell>
          <cell r="D206" t="e">
            <v>#REF!</v>
          </cell>
          <cell r="E206" t="str">
            <v xml:space="preserve">Muhammad  Rafique </v>
          </cell>
          <cell r="F206">
            <v>4</v>
          </cell>
          <cell r="G206" t="str">
            <v>Chowkidar</v>
          </cell>
          <cell r="H206">
            <v>1</v>
          </cell>
          <cell r="I206">
            <v>0.7</v>
          </cell>
          <cell r="J206" t="str">
            <v>A Grade</v>
          </cell>
        </row>
        <row r="207">
          <cell r="A207" t="str">
            <v>NQ-041</v>
          </cell>
          <cell r="B207" t="str">
            <v>Naib Quasid</v>
          </cell>
          <cell r="C207" t="str">
            <v>DEC Sanghar _ REC SBA</v>
          </cell>
          <cell r="D207" t="e">
            <v>#REF!</v>
          </cell>
          <cell r="E207" t="str">
            <v>Vacant</v>
          </cell>
          <cell r="F207">
            <v>2</v>
          </cell>
          <cell r="G207" t="str">
            <v>Naib Quasid</v>
          </cell>
          <cell r="H207"/>
          <cell r="J207"/>
        </row>
        <row r="208">
          <cell r="A208" t="str">
            <v>SA-023</v>
          </cell>
          <cell r="B208" t="str">
            <v>Senior Assistant</v>
          </cell>
          <cell r="C208" t="str">
            <v>DEC Naushero Feroze _ REC SBA</v>
          </cell>
          <cell r="D208" t="e">
            <v>#REF!</v>
          </cell>
          <cell r="E208" t="str">
            <v>Syed Akbar Shah</v>
          </cell>
          <cell r="F208">
            <v>16</v>
          </cell>
          <cell r="G208" t="str">
            <v>Senior Assistant</v>
          </cell>
          <cell r="H208">
            <v>1</v>
          </cell>
          <cell r="I208">
            <v>0.77</v>
          </cell>
          <cell r="J208" t="str">
            <v>A Grade</v>
          </cell>
        </row>
        <row r="209">
          <cell r="A209" t="str">
            <v>DEO-027</v>
          </cell>
          <cell r="B209" t="str">
            <v xml:space="preserve">Data Entry Operator </v>
          </cell>
          <cell r="C209" t="str">
            <v>DEC Naushero Feroze _ REC SBA</v>
          </cell>
          <cell r="D209" t="e">
            <v>#REF!</v>
          </cell>
          <cell r="E209" t="str">
            <v>Zakir Hussain Khaskheli</v>
          </cell>
          <cell r="F209">
            <v>15</v>
          </cell>
          <cell r="G209" t="str">
            <v xml:space="preserve">Data Entry Operator </v>
          </cell>
          <cell r="H209">
            <v>1</v>
          </cell>
          <cell r="I209">
            <v>0.85</v>
          </cell>
          <cell r="J209" t="str">
            <v>A+ Grade</v>
          </cell>
        </row>
        <row r="210">
          <cell r="A210" t="str">
            <v>DEO-028</v>
          </cell>
          <cell r="B210" t="str">
            <v xml:space="preserve">Data Entry Operator </v>
          </cell>
          <cell r="C210" t="str">
            <v>DEC Naushero Feroze _ REC SBA</v>
          </cell>
          <cell r="D210" t="e">
            <v>#REF!</v>
          </cell>
          <cell r="E210" t="str">
            <v>Muhammad Akram</v>
          </cell>
          <cell r="F210">
            <v>15</v>
          </cell>
          <cell r="G210" t="str">
            <v xml:space="preserve">Data Entry Operator </v>
          </cell>
          <cell r="H210">
            <v>1</v>
          </cell>
          <cell r="I210">
            <v>0.72</v>
          </cell>
          <cell r="J210" t="str">
            <v>A Grade</v>
          </cell>
        </row>
        <row r="211">
          <cell r="A211" t="str">
            <v>DEO-029</v>
          </cell>
          <cell r="B211" t="str">
            <v xml:space="preserve">Data Entry Operator </v>
          </cell>
          <cell r="C211" t="str">
            <v>DEC Naushero Feroze _ REC SBA</v>
          </cell>
          <cell r="D211" t="e">
            <v>#REF!</v>
          </cell>
          <cell r="E211" t="str">
            <v>Adeel Akhtar</v>
          </cell>
          <cell r="F211">
            <v>14</v>
          </cell>
          <cell r="G211" t="str">
            <v xml:space="preserve">Data Entry Operator </v>
          </cell>
          <cell r="H211">
            <v>1</v>
          </cell>
          <cell r="I211">
            <v>0.68</v>
          </cell>
          <cell r="J211" t="str">
            <v>B Grade</v>
          </cell>
        </row>
        <row r="212">
          <cell r="A212" t="str">
            <v>JA-026</v>
          </cell>
          <cell r="B212" t="str">
            <v>Junior Assistant</v>
          </cell>
          <cell r="C212" t="str">
            <v>DEC Naushero Feroze _ REC SBA</v>
          </cell>
          <cell r="D212" t="e">
            <v>#REF!</v>
          </cell>
          <cell r="E212" t="str">
            <v>Qamaruddin</v>
          </cell>
          <cell r="F212">
            <v>13</v>
          </cell>
          <cell r="G212" t="str">
            <v>Junior Assistant</v>
          </cell>
          <cell r="H212">
            <v>1</v>
          </cell>
          <cell r="I212">
            <v>0.67</v>
          </cell>
          <cell r="J212" t="str">
            <v>B Grade</v>
          </cell>
        </row>
        <row r="213">
          <cell r="A213" t="str">
            <v>SUB-030</v>
          </cell>
          <cell r="B213" t="str">
            <v>Sub Assistant</v>
          </cell>
          <cell r="C213" t="str">
            <v>DEC Naushero Feroze _ REC SBA</v>
          </cell>
          <cell r="D213" t="e">
            <v>#REF!</v>
          </cell>
          <cell r="E213" t="str">
            <v>Hubdar Hussain</v>
          </cell>
          <cell r="F213">
            <v>11</v>
          </cell>
          <cell r="G213" t="str">
            <v>Sub Assistant</v>
          </cell>
          <cell r="H213">
            <v>1</v>
          </cell>
          <cell r="I213">
            <v>0.7</v>
          </cell>
          <cell r="J213" t="str">
            <v>A Grade</v>
          </cell>
        </row>
        <row r="214">
          <cell r="A214" t="str">
            <v>SUB-031</v>
          </cell>
          <cell r="B214" t="str">
            <v>Sub Assistant</v>
          </cell>
          <cell r="C214" t="str">
            <v>DEC Naushero Feroze _ REC SBA</v>
          </cell>
          <cell r="D214" t="e">
            <v>#REF!</v>
          </cell>
          <cell r="E214" t="str">
            <v>Imran Ali</v>
          </cell>
          <cell r="F214">
            <v>11</v>
          </cell>
          <cell r="G214" t="str">
            <v>Sub Assistant</v>
          </cell>
          <cell r="H214">
            <v>1</v>
          </cell>
          <cell r="I214">
            <v>0.85</v>
          </cell>
          <cell r="J214" t="str">
            <v>A+ Grade</v>
          </cell>
        </row>
        <row r="215">
          <cell r="A215" t="str">
            <v>SCD-013</v>
          </cell>
          <cell r="B215" t="str">
            <v>Staff Car Driver</v>
          </cell>
          <cell r="C215" t="str">
            <v>DEC Naushero Feroze _ REC SBA</v>
          </cell>
          <cell r="D215" t="e">
            <v>#REF!</v>
          </cell>
          <cell r="E215" t="str">
            <v>Nisar Ahmed Kalhoro</v>
          </cell>
          <cell r="F215">
            <v>7</v>
          </cell>
          <cell r="G215" t="str">
            <v>Staff Car Driver</v>
          </cell>
          <cell r="H215">
            <v>1</v>
          </cell>
          <cell r="I215">
            <v>0.7</v>
          </cell>
          <cell r="J215" t="str">
            <v>A Grade</v>
          </cell>
        </row>
        <row r="216">
          <cell r="A216" t="str">
            <v>CH-022</v>
          </cell>
          <cell r="B216" t="str">
            <v>Chowkidar</v>
          </cell>
          <cell r="C216" t="str">
            <v>DEC Naushero Feroze _ REC SBA</v>
          </cell>
          <cell r="D216" t="e">
            <v>#REF!</v>
          </cell>
          <cell r="E216" t="str">
            <v>Fida Hussain Qazi</v>
          </cell>
          <cell r="F216">
            <v>5</v>
          </cell>
          <cell r="G216" t="str">
            <v>Chowkidar</v>
          </cell>
          <cell r="H216">
            <v>1</v>
          </cell>
          <cell r="I216">
            <v>0.6</v>
          </cell>
          <cell r="J216" t="str">
            <v>B Grade</v>
          </cell>
        </row>
        <row r="217">
          <cell r="A217" t="str">
            <v>NQ-042</v>
          </cell>
          <cell r="B217" t="str">
            <v>Naib Quasid</v>
          </cell>
          <cell r="C217" t="str">
            <v>DEC Naushero Feroze _ REC SBA</v>
          </cell>
          <cell r="D217" t="e">
            <v>#REF!</v>
          </cell>
          <cell r="E217" t="str">
            <v>Muhammad Yousuf</v>
          </cell>
          <cell r="F217">
            <v>5</v>
          </cell>
          <cell r="G217" t="str">
            <v>Naib Quasid</v>
          </cell>
          <cell r="H217">
            <v>1</v>
          </cell>
          <cell r="I217">
            <v>0.68</v>
          </cell>
          <cell r="J217" t="str">
            <v>B Grade</v>
          </cell>
        </row>
        <row r="218">
          <cell r="A218" t="str">
            <v>CH-023</v>
          </cell>
          <cell r="B218" t="str">
            <v>Chowkidar</v>
          </cell>
          <cell r="C218" t="str">
            <v>DEC Naushero Feroze _ REC SBA</v>
          </cell>
          <cell r="D218" t="e">
            <v>#REF!</v>
          </cell>
          <cell r="E218" t="str">
            <v>Parveez Ali Phull</v>
          </cell>
          <cell r="F218">
            <v>4</v>
          </cell>
          <cell r="G218" t="str">
            <v>Chowkidar</v>
          </cell>
          <cell r="H218">
            <v>1</v>
          </cell>
          <cell r="I218">
            <v>0.7</v>
          </cell>
          <cell r="J218" t="str">
            <v>A Grade</v>
          </cell>
        </row>
        <row r="219">
          <cell r="A219" t="str">
            <v>NQ-043</v>
          </cell>
          <cell r="B219" t="str">
            <v>Naib Quasid</v>
          </cell>
          <cell r="C219" t="str">
            <v>DEC Naushero Feroze _ REC SBA</v>
          </cell>
          <cell r="D219" t="e">
            <v>#REF!</v>
          </cell>
          <cell r="E219" t="str">
            <v>Tarique Ali</v>
          </cell>
          <cell r="F219">
            <v>4</v>
          </cell>
          <cell r="G219" t="str">
            <v>Naib Quasid</v>
          </cell>
          <cell r="H219">
            <v>1</v>
          </cell>
          <cell r="I219">
            <v>0.8</v>
          </cell>
          <cell r="J219" t="str">
            <v>A+ Grade</v>
          </cell>
        </row>
        <row r="220">
          <cell r="A220" t="str">
            <v>DAD-003</v>
          </cell>
          <cell r="B220" t="str">
            <v>Deputy Assistant Director</v>
          </cell>
          <cell r="C220" t="str">
            <v>REC Larkana _ REC Larkana</v>
          </cell>
          <cell r="D220" t="e">
            <v>#REF!</v>
          </cell>
          <cell r="E220" t="str">
            <v>Ajaib Ali</v>
          </cell>
          <cell r="F220">
            <v>16</v>
          </cell>
          <cell r="G220" t="str">
            <v>Deputy Assistant Director</v>
          </cell>
          <cell r="H220"/>
          <cell r="J220"/>
        </row>
        <row r="221">
          <cell r="A221" t="str">
            <v>SA-024</v>
          </cell>
          <cell r="B221" t="str">
            <v>Senior Assistant</v>
          </cell>
          <cell r="C221" t="str">
            <v>REC Larkana _ REC Larkana</v>
          </cell>
          <cell r="D221" t="e">
            <v>#REF!</v>
          </cell>
          <cell r="E221" t="str">
            <v>Abdul Latif Soomro</v>
          </cell>
          <cell r="F221">
            <v>16</v>
          </cell>
          <cell r="G221" t="str">
            <v>Senior Assistant</v>
          </cell>
          <cell r="H221"/>
          <cell r="J221"/>
        </row>
        <row r="222">
          <cell r="A222" t="str">
            <v>SPA-006</v>
          </cell>
          <cell r="B222" t="str">
            <v xml:space="preserve">Senior Personal Assistant </v>
          </cell>
          <cell r="C222" t="str">
            <v>REC Larkana _ REC Larkana</v>
          </cell>
          <cell r="D222" t="e">
            <v>#REF!</v>
          </cell>
          <cell r="E222" t="str">
            <v>Sanaullah</v>
          </cell>
          <cell r="F222">
            <v>16</v>
          </cell>
          <cell r="G222" t="str">
            <v xml:space="preserve">Senior Personal Assistant </v>
          </cell>
          <cell r="H222"/>
          <cell r="J222"/>
        </row>
        <row r="223">
          <cell r="A223" t="str">
            <v>DEO-030</v>
          </cell>
          <cell r="B223" t="str">
            <v xml:space="preserve">Data Entry Operator </v>
          </cell>
          <cell r="C223" t="str">
            <v>REC Larkana _ REC Larkana</v>
          </cell>
          <cell r="D223" t="e">
            <v>#REF!</v>
          </cell>
          <cell r="E223" t="str">
            <v>Ayaz Ali</v>
          </cell>
          <cell r="F223">
            <v>15</v>
          </cell>
          <cell r="G223" t="str">
            <v xml:space="preserve">Data Entry Operator </v>
          </cell>
          <cell r="H223"/>
          <cell r="J223"/>
        </row>
        <row r="224">
          <cell r="A224" t="str">
            <v>JA-027</v>
          </cell>
          <cell r="B224" t="str">
            <v>Junior Assistant</v>
          </cell>
          <cell r="C224" t="str">
            <v>REC Larkana _ REC Larkana</v>
          </cell>
          <cell r="D224" t="e">
            <v>#REF!</v>
          </cell>
          <cell r="E224" t="str">
            <v>Vacant</v>
          </cell>
          <cell r="F224">
            <v>13</v>
          </cell>
          <cell r="G224" t="str">
            <v>Junior Assistant</v>
          </cell>
          <cell r="H224"/>
          <cell r="J224"/>
        </row>
        <row r="225">
          <cell r="A225" t="str">
            <v>SUB-032</v>
          </cell>
          <cell r="B225" t="str">
            <v>Sub Assistant</v>
          </cell>
          <cell r="C225" t="str">
            <v>REC Larkana _ REC Larkana</v>
          </cell>
          <cell r="D225" t="e">
            <v>#REF!</v>
          </cell>
          <cell r="E225" t="str">
            <v xml:space="preserve">Farzana Begum Soomro </v>
          </cell>
          <cell r="F225">
            <v>11</v>
          </cell>
          <cell r="G225" t="str">
            <v>Sub Assistant</v>
          </cell>
          <cell r="H225"/>
          <cell r="J225"/>
        </row>
        <row r="226">
          <cell r="A226" t="str">
            <v>DR-005</v>
          </cell>
          <cell r="B226" t="str">
            <v>Dispatch Rider</v>
          </cell>
          <cell r="C226" t="str">
            <v>REC Larkana _ REC Larkana</v>
          </cell>
          <cell r="D226" t="e">
            <v>#REF!</v>
          </cell>
          <cell r="E226" t="str">
            <v>Ali Muarad Lakho</v>
          </cell>
          <cell r="F226">
            <v>7</v>
          </cell>
          <cell r="G226" t="str">
            <v>Dispatch Rider</v>
          </cell>
          <cell r="H226"/>
          <cell r="J226"/>
        </row>
        <row r="227">
          <cell r="A227" t="str">
            <v>SCD-014</v>
          </cell>
          <cell r="B227" t="str">
            <v>Staff Car Driver</v>
          </cell>
          <cell r="C227" t="str">
            <v>REC Larkana _ REC Larkana</v>
          </cell>
          <cell r="D227" t="e">
            <v>#REF!</v>
          </cell>
          <cell r="E227" t="str">
            <v>Abdul Wahid Mugheri</v>
          </cell>
          <cell r="F227">
            <v>7</v>
          </cell>
          <cell r="G227" t="str">
            <v>Staff Car Driver</v>
          </cell>
          <cell r="H227"/>
          <cell r="J227"/>
        </row>
        <row r="228">
          <cell r="A228" t="str">
            <v>CH-024</v>
          </cell>
          <cell r="B228" t="str">
            <v>Chowkidar</v>
          </cell>
          <cell r="C228" t="str">
            <v>REC Larkana _ REC Larkana</v>
          </cell>
          <cell r="D228" t="e">
            <v>#REF!</v>
          </cell>
          <cell r="E228" t="str">
            <v>Fazal Muhammad Kori</v>
          </cell>
          <cell r="F228">
            <v>5</v>
          </cell>
          <cell r="G228" t="str">
            <v>Chowkidar</v>
          </cell>
          <cell r="H228"/>
          <cell r="J228"/>
        </row>
        <row r="229">
          <cell r="A229" t="str">
            <v>NQ-044</v>
          </cell>
          <cell r="B229" t="str">
            <v>Naib Quasid</v>
          </cell>
          <cell r="C229" t="str">
            <v>REC Larkana _ REC Larkana</v>
          </cell>
          <cell r="D229" t="e">
            <v>#REF!</v>
          </cell>
          <cell r="E229" t="str">
            <v>Mudasir Ali</v>
          </cell>
          <cell r="F229">
            <v>4</v>
          </cell>
          <cell r="G229" t="str">
            <v>Naib Quasid</v>
          </cell>
          <cell r="H229"/>
          <cell r="J229"/>
        </row>
        <row r="230">
          <cell r="A230" t="str">
            <v>SA-025</v>
          </cell>
          <cell r="B230" t="str">
            <v>Senior Assistant</v>
          </cell>
          <cell r="C230" t="str">
            <v>REC Larkana Strong Room _ REC Larkana</v>
          </cell>
          <cell r="D230" t="e">
            <v>#REF!</v>
          </cell>
          <cell r="E230" t="str">
            <v>Ghulam Asghar Dayo</v>
          </cell>
          <cell r="F230">
            <v>16</v>
          </cell>
          <cell r="G230" t="str">
            <v>Senior Assistant</v>
          </cell>
          <cell r="H230"/>
          <cell r="J230"/>
        </row>
        <row r="231">
          <cell r="A231" t="str">
            <v>JA-028</v>
          </cell>
          <cell r="B231" t="str">
            <v>Junior Assistant</v>
          </cell>
          <cell r="C231" t="str">
            <v>REC Larkana Strong Room _ REC Larkana</v>
          </cell>
          <cell r="D231" t="e">
            <v>#REF!</v>
          </cell>
          <cell r="E231" t="str">
            <v>Suhail Asghar</v>
          </cell>
          <cell r="F231">
            <v>13</v>
          </cell>
          <cell r="G231" t="str">
            <v>Junior Assistant</v>
          </cell>
          <cell r="H231"/>
          <cell r="J231"/>
        </row>
        <row r="232">
          <cell r="A232" t="str">
            <v>CH-025</v>
          </cell>
          <cell r="B232" t="str">
            <v>Chowkidar</v>
          </cell>
          <cell r="C232" t="str">
            <v>DEC Kashmore  _ REC Larkana</v>
          </cell>
          <cell r="D232" t="e">
            <v>#REF!</v>
          </cell>
          <cell r="E232" t="str">
            <v>Abdul Sattar</v>
          </cell>
          <cell r="F232">
            <v>4</v>
          </cell>
          <cell r="G232" t="str">
            <v>Chowkidar</v>
          </cell>
          <cell r="H232"/>
          <cell r="J232"/>
        </row>
        <row r="233">
          <cell r="A233" t="str">
            <v>NQ-046</v>
          </cell>
          <cell r="B233" t="str">
            <v>Naib Quasid</v>
          </cell>
          <cell r="C233" t="str">
            <v>REC Larkana Strong Room _ REC Larkana</v>
          </cell>
          <cell r="D233" t="e">
            <v>#REF!</v>
          </cell>
          <cell r="E233" t="str">
            <v>Manzar Hussain</v>
          </cell>
          <cell r="F233">
            <v>4</v>
          </cell>
          <cell r="G233" t="str">
            <v>Naib Quasid</v>
          </cell>
          <cell r="H233"/>
          <cell r="J233"/>
        </row>
        <row r="234">
          <cell r="A234" t="str">
            <v>JPA-008</v>
          </cell>
          <cell r="B234" t="str">
            <v>Junior Personal Assistant (Law Officer)</v>
          </cell>
          <cell r="C234" t="str">
            <v>AD (Law) REC Larkana _ REC Larkana</v>
          </cell>
          <cell r="D234" t="e">
            <v>#REF!</v>
          </cell>
          <cell r="E234" t="str">
            <v>Muhammad Zuhaib</v>
          </cell>
          <cell r="F234">
            <v>15</v>
          </cell>
          <cell r="G234" t="str">
            <v>Junior Personal Assistant (Law Officer)</v>
          </cell>
          <cell r="H234"/>
          <cell r="J234"/>
        </row>
        <row r="235">
          <cell r="A235" t="str">
            <v>NQ-045</v>
          </cell>
          <cell r="B235" t="str">
            <v>Naib Quasid (Law)</v>
          </cell>
          <cell r="C235" t="str">
            <v>AD (Law) REC Larkana _ REC Larkana</v>
          </cell>
          <cell r="D235" t="e">
            <v>#REF!</v>
          </cell>
          <cell r="E235" t="str">
            <v>Vacant</v>
          </cell>
          <cell r="F235">
            <v>5</v>
          </cell>
          <cell r="G235" t="str">
            <v>Naib Quasid (Law)</v>
          </cell>
          <cell r="H235"/>
          <cell r="J235"/>
        </row>
        <row r="236">
          <cell r="A236" t="str">
            <v>JA-021</v>
          </cell>
          <cell r="B236" t="str">
            <v>Junior Assistant</v>
          </cell>
          <cell r="C236" t="str">
            <v>DEC Larkana  _ REC Larkana</v>
          </cell>
          <cell r="D236" t="e">
            <v>#REF!</v>
          </cell>
          <cell r="E236" t="str">
            <v>Vacant</v>
          </cell>
          <cell r="F236">
            <v>13</v>
          </cell>
          <cell r="G236" t="str">
            <v>Junior Assistant</v>
          </cell>
          <cell r="H236"/>
          <cell r="J236"/>
        </row>
        <row r="237">
          <cell r="A237" t="str">
            <v>SA-026</v>
          </cell>
          <cell r="B237" t="str">
            <v>Senior Assistant</v>
          </cell>
          <cell r="C237" t="str">
            <v>DEC Larkana  _ REC Larkana</v>
          </cell>
          <cell r="D237" t="e">
            <v>#REF!</v>
          </cell>
          <cell r="E237" t="str">
            <v>Abdul Latif Abbasi</v>
          </cell>
          <cell r="F237">
            <v>16</v>
          </cell>
          <cell r="G237" t="str">
            <v>Senior Assistant</v>
          </cell>
          <cell r="H237"/>
          <cell r="J237"/>
        </row>
        <row r="238">
          <cell r="A238" t="str">
            <v>DEO-032</v>
          </cell>
          <cell r="B238" t="str">
            <v xml:space="preserve">Data Entry Operator </v>
          </cell>
          <cell r="C238" t="str">
            <v>DEC Larkana  _ REC Larkana</v>
          </cell>
          <cell r="D238" t="e">
            <v>#REF!</v>
          </cell>
          <cell r="E238" t="str">
            <v>Shahid Ali (Disable)</v>
          </cell>
          <cell r="F238">
            <v>15</v>
          </cell>
          <cell r="G238" t="str">
            <v xml:space="preserve">Data Entry Operator </v>
          </cell>
          <cell r="H238"/>
          <cell r="J238"/>
        </row>
        <row r="239">
          <cell r="A239" t="str">
            <v>DEO-033</v>
          </cell>
          <cell r="B239" t="str">
            <v xml:space="preserve">Data Entry Operator </v>
          </cell>
          <cell r="C239" t="str">
            <v>DEC Larkana  _ REC Larkana</v>
          </cell>
          <cell r="D239" t="e">
            <v>#REF!</v>
          </cell>
          <cell r="E239" t="str">
            <v>Assadullah</v>
          </cell>
          <cell r="F239">
            <v>15</v>
          </cell>
          <cell r="G239" t="str">
            <v xml:space="preserve">Data Entry Operator </v>
          </cell>
          <cell r="H239"/>
          <cell r="J239"/>
        </row>
        <row r="240">
          <cell r="A240" t="str">
            <v>SUB-033</v>
          </cell>
          <cell r="B240" t="str">
            <v>Sub Assistant</v>
          </cell>
          <cell r="C240" t="str">
            <v>DEC Larkana  _ REC Larkana</v>
          </cell>
          <cell r="D240" t="e">
            <v>#REF!</v>
          </cell>
          <cell r="E240" t="str">
            <v>Rab Nawaz Lashari</v>
          </cell>
          <cell r="F240">
            <v>11</v>
          </cell>
          <cell r="G240" t="str">
            <v>Sub Assistant</v>
          </cell>
          <cell r="H240"/>
          <cell r="J240"/>
        </row>
        <row r="241">
          <cell r="A241" t="str">
            <v>SUB-034</v>
          </cell>
          <cell r="B241" t="str">
            <v>Sub Assistant</v>
          </cell>
          <cell r="C241" t="str">
            <v>DEC Larkana  _ REC Larkana</v>
          </cell>
          <cell r="D241" t="e">
            <v>#REF!</v>
          </cell>
          <cell r="E241" t="str">
            <v>Muhammad Arshad</v>
          </cell>
          <cell r="F241">
            <v>11</v>
          </cell>
          <cell r="G241" t="str">
            <v>Sub Assistant</v>
          </cell>
          <cell r="H241"/>
          <cell r="J241"/>
        </row>
        <row r="242">
          <cell r="A242" t="str">
            <v>SCD-015</v>
          </cell>
          <cell r="B242" t="str">
            <v>Staff Car Driver</v>
          </cell>
          <cell r="C242" t="str">
            <v>DEC Larkana  _ REC Larkana</v>
          </cell>
          <cell r="D242" t="e">
            <v>#REF!</v>
          </cell>
          <cell r="E242" t="str">
            <v>Buxial Ali Panhwar</v>
          </cell>
          <cell r="F242">
            <v>7</v>
          </cell>
          <cell r="G242" t="str">
            <v>Staff Car Driver</v>
          </cell>
          <cell r="H242"/>
          <cell r="J242"/>
        </row>
        <row r="243">
          <cell r="A243" t="str">
            <v>NQ-047</v>
          </cell>
          <cell r="B243" t="str">
            <v>Naib Quasid</v>
          </cell>
          <cell r="C243" t="str">
            <v>DEC Larkana  _ REC Larkana</v>
          </cell>
          <cell r="D243" t="e">
            <v>#REF!</v>
          </cell>
          <cell r="E243" t="str">
            <v>Ghulam Muhammad Totani</v>
          </cell>
          <cell r="F243">
            <v>5</v>
          </cell>
          <cell r="G243" t="str">
            <v>Naib Quasid</v>
          </cell>
          <cell r="H243"/>
          <cell r="J243"/>
        </row>
        <row r="244">
          <cell r="A244" t="str">
            <v>NQ-048</v>
          </cell>
          <cell r="B244" t="str">
            <v>Naib Quasid</v>
          </cell>
          <cell r="C244" t="str">
            <v>DEC Larkana  _ REC Larkana</v>
          </cell>
          <cell r="D244" t="e">
            <v>#REF!</v>
          </cell>
          <cell r="E244" t="str">
            <v>Mujeeb Rehman Panhwar</v>
          </cell>
          <cell r="F244">
            <v>5</v>
          </cell>
          <cell r="G244" t="str">
            <v>Naib Quasid</v>
          </cell>
          <cell r="H244"/>
          <cell r="J244"/>
        </row>
        <row r="245">
          <cell r="A245" t="str">
            <v>CH-026</v>
          </cell>
          <cell r="B245" t="str">
            <v>Chowkidar</v>
          </cell>
          <cell r="C245" t="str">
            <v>REC Larkana Strong Room _ REC Larkana</v>
          </cell>
          <cell r="D245" t="e">
            <v>#REF!</v>
          </cell>
          <cell r="E245" t="str">
            <v>Bashir Ahmed Panhwar</v>
          </cell>
          <cell r="F245">
            <v>4</v>
          </cell>
          <cell r="G245" t="str">
            <v>Chowkidar</v>
          </cell>
          <cell r="H245"/>
          <cell r="J245"/>
        </row>
        <row r="246">
          <cell r="A246" t="str">
            <v>CH-027</v>
          </cell>
          <cell r="B246" t="str">
            <v>Chowkidar</v>
          </cell>
          <cell r="C246" t="str">
            <v>DEC Larkana  _ REC Larkana</v>
          </cell>
          <cell r="D246" t="e">
            <v>#REF!</v>
          </cell>
          <cell r="E246" t="str">
            <v>Arshad Ali Lashari</v>
          </cell>
          <cell r="F246">
            <v>4</v>
          </cell>
          <cell r="G246" t="str">
            <v>Chowkidar</v>
          </cell>
          <cell r="H246"/>
          <cell r="J246"/>
        </row>
        <row r="247">
          <cell r="A247" t="str">
            <v>DEO-092</v>
          </cell>
          <cell r="B247" t="str">
            <v xml:space="preserve">Data Entry Operator </v>
          </cell>
          <cell r="C247" t="str">
            <v>DEC Karachi West _ REC Karachi</v>
          </cell>
          <cell r="D247" t="e">
            <v>#REF!</v>
          </cell>
          <cell r="E247" t="str">
            <v>Vacant</v>
          </cell>
          <cell r="F247">
            <v>14</v>
          </cell>
          <cell r="G247" t="str">
            <v xml:space="preserve">Data Entry Operator </v>
          </cell>
          <cell r="H247"/>
          <cell r="J247"/>
        </row>
        <row r="248">
          <cell r="A248" t="str">
            <v>SA-027</v>
          </cell>
          <cell r="B248" t="str">
            <v>Senior Assistant</v>
          </cell>
          <cell r="C248" t="str">
            <v>DEC Jacobabad _ REC Larkana</v>
          </cell>
          <cell r="D248" t="e">
            <v>#REF!</v>
          </cell>
          <cell r="E248" t="str">
            <v>Nasrullah Soomro</v>
          </cell>
          <cell r="F248">
            <v>16</v>
          </cell>
          <cell r="G248" t="str">
            <v>Senior Assistant</v>
          </cell>
          <cell r="H248"/>
          <cell r="J248"/>
        </row>
        <row r="249">
          <cell r="A249" t="str">
            <v>DEO-034</v>
          </cell>
          <cell r="B249" t="str">
            <v xml:space="preserve">Data Entry Operator </v>
          </cell>
          <cell r="C249" t="str">
            <v>DEC Jacobabad _ REC Larkana</v>
          </cell>
          <cell r="D249" t="e">
            <v>#REF!</v>
          </cell>
          <cell r="E249" t="str">
            <v>Khalil Ur Rehman</v>
          </cell>
          <cell r="F249">
            <v>15</v>
          </cell>
          <cell r="G249" t="str">
            <v xml:space="preserve">Data Entry Operator </v>
          </cell>
          <cell r="H249"/>
          <cell r="J249"/>
        </row>
        <row r="250">
          <cell r="A250" t="str">
            <v>DEO-064</v>
          </cell>
          <cell r="B250" t="str">
            <v xml:space="preserve">Data Entry Operator </v>
          </cell>
          <cell r="C250" t="str">
            <v>DEC Jacobabad _ REC Larkana</v>
          </cell>
          <cell r="D250" t="e">
            <v>#REF!</v>
          </cell>
          <cell r="E250" t="str">
            <v>Sabghatullah</v>
          </cell>
          <cell r="F250">
            <v>14</v>
          </cell>
          <cell r="G250" t="str">
            <v xml:space="preserve">Data Entry Operator </v>
          </cell>
          <cell r="H250"/>
          <cell r="J250"/>
        </row>
        <row r="251">
          <cell r="A251" t="str">
            <v>JA-030</v>
          </cell>
          <cell r="B251" t="str">
            <v>Junior Assistant</v>
          </cell>
          <cell r="C251" t="str">
            <v>DEC Jacobabad _ REC Larkana</v>
          </cell>
          <cell r="D251" t="e">
            <v>#REF!</v>
          </cell>
          <cell r="E251" t="str">
            <v>Jamil Ahmed</v>
          </cell>
          <cell r="F251">
            <v>13</v>
          </cell>
          <cell r="G251" t="str">
            <v>Junior Assistant</v>
          </cell>
          <cell r="H251"/>
          <cell r="J251"/>
        </row>
        <row r="252">
          <cell r="A252" t="str">
            <v>SUB-035</v>
          </cell>
          <cell r="B252" t="str">
            <v>Sub Assistant</v>
          </cell>
          <cell r="C252" t="str">
            <v>DEC Jacobabad _ REC Larkana</v>
          </cell>
          <cell r="D252" t="e">
            <v>#REF!</v>
          </cell>
          <cell r="E252" t="str">
            <v>Saifullah Jamali</v>
          </cell>
          <cell r="F252">
            <v>11</v>
          </cell>
          <cell r="G252" t="str">
            <v>Sub Assistant</v>
          </cell>
          <cell r="H252"/>
          <cell r="J252"/>
        </row>
        <row r="253">
          <cell r="A253" t="str">
            <v>SUB-036</v>
          </cell>
          <cell r="B253" t="str">
            <v>Sub Assistant</v>
          </cell>
          <cell r="C253" t="str">
            <v>DEC Jacobabad _ REC Larkana</v>
          </cell>
          <cell r="D253" t="e">
            <v>#REF!</v>
          </cell>
          <cell r="E253" t="str">
            <v>Muhammad Qasim</v>
          </cell>
          <cell r="F253">
            <v>11</v>
          </cell>
          <cell r="G253" t="str">
            <v>Sub Assistant</v>
          </cell>
          <cell r="H253"/>
          <cell r="J253"/>
        </row>
        <row r="254">
          <cell r="A254" t="str">
            <v>SCD-016</v>
          </cell>
          <cell r="B254" t="str">
            <v>Staff Car Driver</v>
          </cell>
          <cell r="C254" t="str">
            <v>DEC Jacobabad _ REC Larkana</v>
          </cell>
          <cell r="D254" t="e">
            <v>#REF!</v>
          </cell>
          <cell r="E254" t="str">
            <v>Muhammad Ayub</v>
          </cell>
          <cell r="F254">
            <v>7</v>
          </cell>
          <cell r="G254" t="str">
            <v>Staff Car Driver</v>
          </cell>
          <cell r="H254"/>
          <cell r="J254"/>
        </row>
        <row r="255">
          <cell r="A255" t="str">
            <v>CH-029</v>
          </cell>
          <cell r="B255" t="str">
            <v>Chowkidar</v>
          </cell>
          <cell r="C255" t="str">
            <v>DEC Jacobabad _ REC Larkana</v>
          </cell>
          <cell r="D255" t="e">
            <v>#REF!</v>
          </cell>
          <cell r="E255" t="str">
            <v>Ghulam Sarwar</v>
          </cell>
          <cell r="F255">
            <v>5</v>
          </cell>
          <cell r="G255" t="str">
            <v>Chowkidar</v>
          </cell>
          <cell r="H255"/>
          <cell r="J255"/>
        </row>
        <row r="256">
          <cell r="A256" t="str">
            <v>NQ-049</v>
          </cell>
          <cell r="B256" t="str">
            <v>Naib Quasid</v>
          </cell>
          <cell r="C256" t="str">
            <v>DEC Jacobabad _ REC Larkana</v>
          </cell>
          <cell r="D256" t="e">
            <v>#REF!</v>
          </cell>
          <cell r="E256" t="str">
            <v>Darya Khan</v>
          </cell>
          <cell r="F256">
            <v>5</v>
          </cell>
          <cell r="G256" t="str">
            <v>Naib Quasid</v>
          </cell>
          <cell r="H256"/>
          <cell r="J256"/>
        </row>
        <row r="257">
          <cell r="A257" t="str">
            <v>CH-028</v>
          </cell>
          <cell r="B257" t="str">
            <v>Chowkidar</v>
          </cell>
          <cell r="C257" t="str">
            <v>DEC Jacobabad _ REC Larkana</v>
          </cell>
          <cell r="D257" t="e">
            <v>#REF!</v>
          </cell>
          <cell r="E257" t="str">
            <v>Rahimuddin</v>
          </cell>
          <cell r="F257">
            <v>4</v>
          </cell>
          <cell r="G257" t="str">
            <v>Chowkidar</v>
          </cell>
          <cell r="H257"/>
          <cell r="J257"/>
        </row>
        <row r="258">
          <cell r="A258" t="str">
            <v>NQ-050</v>
          </cell>
          <cell r="B258" t="str">
            <v>Naib Quasid</v>
          </cell>
          <cell r="C258" t="str">
            <v>DEC Jacobabad _ REC Larkana</v>
          </cell>
          <cell r="D258" t="e">
            <v>#REF!</v>
          </cell>
          <cell r="E258" t="str">
            <v>Atta Muhammad</v>
          </cell>
          <cell r="F258">
            <v>4</v>
          </cell>
          <cell r="G258" t="str">
            <v>Naib Quasid</v>
          </cell>
          <cell r="H258"/>
          <cell r="J258"/>
        </row>
        <row r="259">
          <cell r="A259" t="str">
            <v>SA-028</v>
          </cell>
          <cell r="B259" t="str">
            <v>Senior Assistant</v>
          </cell>
          <cell r="C259" t="str">
            <v>DEC Shikarpur  _ REC Larkana</v>
          </cell>
          <cell r="D259" t="e">
            <v>#REF!</v>
          </cell>
          <cell r="E259" t="str">
            <v>Mujeeb-ur-Rehman</v>
          </cell>
          <cell r="F259">
            <v>16</v>
          </cell>
          <cell r="G259" t="str">
            <v>Senior Assistant</v>
          </cell>
          <cell r="H259"/>
          <cell r="J259"/>
        </row>
        <row r="260">
          <cell r="A260" t="str">
            <v>DEO-036</v>
          </cell>
          <cell r="B260" t="str">
            <v xml:space="preserve">Data Entry Operator </v>
          </cell>
          <cell r="C260" t="str">
            <v>DEC Shikarpur  _ REC Larkana</v>
          </cell>
          <cell r="D260" t="e">
            <v>#REF!</v>
          </cell>
          <cell r="E260" t="str">
            <v>Vacant</v>
          </cell>
          <cell r="F260">
            <v>14</v>
          </cell>
          <cell r="G260" t="str">
            <v xml:space="preserve">Data Entry Operator </v>
          </cell>
          <cell r="H260"/>
          <cell r="J260"/>
        </row>
        <row r="261">
          <cell r="A261" t="str">
            <v>DEO-037</v>
          </cell>
          <cell r="B261" t="str">
            <v xml:space="preserve">Data Entry Operator </v>
          </cell>
          <cell r="C261" t="str">
            <v>DEC Shikarpur  _ REC Larkana</v>
          </cell>
          <cell r="D261" t="e">
            <v>#REF!</v>
          </cell>
          <cell r="E261" t="str">
            <v>Irfan Aijaz</v>
          </cell>
          <cell r="F261">
            <v>15</v>
          </cell>
          <cell r="G261" t="str">
            <v xml:space="preserve">Data Entry Operator </v>
          </cell>
          <cell r="H261"/>
          <cell r="J261"/>
        </row>
        <row r="262">
          <cell r="A262" t="str">
            <v>DEO-038</v>
          </cell>
          <cell r="B262" t="str">
            <v xml:space="preserve">Data Entry Operator </v>
          </cell>
          <cell r="C262" t="str">
            <v>DEC Shikarpur  _ REC Larkana</v>
          </cell>
          <cell r="D262" t="e">
            <v>#REF!</v>
          </cell>
          <cell r="E262" t="str">
            <v>Kamran Ali</v>
          </cell>
          <cell r="F262">
            <v>15</v>
          </cell>
          <cell r="G262" t="str">
            <v xml:space="preserve">Data Entry Operator </v>
          </cell>
          <cell r="H262"/>
          <cell r="J262"/>
        </row>
        <row r="263">
          <cell r="A263" t="str">
            <v>JA-031</v>
          </cell>
          <cell r="B263" t="str">
            <v>Junior Assistant</v>
          </cell>
          <cell r="C263" t="str">
            <v>DEC Shikarpur  _ REC Larkana</v>
          </cell>
          <cell r="D263" t="e">
            <v>#REF!</v>
          </cell>
          <cell r="E263" t="str">
            <v>Ghulam Mustafa Mangi</v>
          </cell>
          <cell r="F263">
            <v>13</v>
          </cell>
          <cell r="G263" t="str">
            <v>Junior Assistant</v>
          </cell>
          <cell r="H263"/>
          <cell r="J263"/>
        </row>
        <row r="264">
          <cell r="A264" t="str">
            <v>SUB-037</v>
          </cell>
          <cell r="B264" t="str">
            <v>Sub Assistant</v>
          </cell>
          <cell r="C264" t="str">
            <v>DEC Shikarpur  _ REC Larkana</v>
          </cell>
          <cell r="D264" t="e">
            <v>#REF!</v>
          </cell>
          <cell r="E264" t="str">
            <v xml:space="preserve">Mehran Ali </v>
          </cell>
          <cell r="F264">
            <v>11</v>
          </cell>
          <cell r="G264" t="str">
            <v>Sub Assistant</v>
          </cell>
          <cell r="H264"/>
          <cell r="J264"/>
        </row>
        <row r="265">
          <cell r="A265" t="str">
            <v>SUB-038</v>
          </cell>
          <cell r="B265" t="str">
            <v>Sub Assistant</v>
          </cell>
          <cell r="C265" t="str">
            <v>DEC Shikarpur  _ REC Larkana</v>
          </cell>
          <cell r="D265" t="e">
            <v>#REF!</v>
          </cell>
          <cell r="E265" t="str">
            <v>Naeem Ahmed S/o Muhammad Ibrahim Soomro</v>
          </cell>
          <cell r="F265">
            <v>11</v>
          </cell>
          <cell r="G265" t="str">
            <v>Sub Assistant</v>
          </cell>
          <cell r="H265"/>
          <cell r="J265"/>
        </row>
        <row r="266">
          <cell r="A266" t="str">
            <v>SCD-017</v>
          </cell>
          <cell r="B266" t="str">
            <v>Staff Car Driver</v>
          </cell>
          <cell r="C266" t="str">
            <v>DEC Shikarpur  _ REC Larkana</v>
          </cell>
          <cell r="D266" t="e">
            <v>#REF!</v>
          </cell>
          <cell r="E266" t="str">
            <v>Abdul Raheem Bhayo</v>
          </cell>
          <cell r="F266">
            <v>7</v>
          </cell>
          <cell r="G266" t="str">
            <v>Staff Car Driver</v>
          </cell>
          <cell r="H266"/>
          <cell r="J266"/>
        </row>
        <row r="267">
          <cell r="A267" t="str">
            <v>NQ-051</v>
          </cell>
          <cell r="B267" t="str">
            <v>Naib Quasid</v>
          </cell>
          <cell r="C267" t="str">
            <v>DEC Shikarpur  _ REC Larkana</v>
          </cell>
          <cell r="D267" t="e">
            <v>#REF!</v>
          </cell>
          <cell r="E267" t="str">
            <v>Jahangir</v>
          </cell>
          <cell r="F267">
            <v>5</v>
          </cell>
          <cell r="G267" t="str">
            <v>Naib Quasid</v>
          </cell>
          <cell r="H267"/>
          <cell r="J267"/>
        </row>
        <row r="268">
          <cell r="A268" t="str">
            <v>CH-030</v>
          </cell>
          <cell r="B268" t="str">
            <v>Chowkidar</v>
          </cell>
          <cell r="C268" t="str">
            <v>DEC Shikarpur  _ REC Larkana</v>
          </cell>
          <cell r="D268" t="e">
            <v>#REF!</v>
          </cell>
          <cell r="E268" t="str">
            <v>Muhammad Adnan</v>
          </cell>
          <cell r="F268">
            <v>4</v>
          </cell>
          <cell r="G268" t="str">
            <v>Chowkidar</v>
          </cell>
          <cell r="H268"/>
          <cell r="J268"/>
        </row>
        <row r="269">
          <cell r="A269" t="str">
            <v>NQ-052</v>
          </cell>
          <cell r="B269" t="str">
            <v>Naib Quasid</v>
          </cell>
          <cell r="C269" t="str">
            <v>DEC Shikarpur  _ REC Larkana</v>
          </cell>
          <cell r="D269" t="e">
            <v>#REF!</v>
          </cell>
          <cell r="E269" t="str">
            <v>Waseem Ali</v>
          </cell>
          <cell r="F269">
            <v>2</v>
          </cell>
          <cell r="G269" t="str">
            <v>Naib Quasid</v>
          </cell>
          <cell r="H269"/>
          <cell r="J269"/>
        </row>
        <row r="270">
          <cell r="A270" t="str">
            <v>SA-029</v>
          </cell>
          <cell r="B270" t="str">
            <v>Senior Assistant</v>
          </cell>
          <cell r="C270" t="str">
            <v>HR Pool</v>
          </cell>
          <cell r="D270" t="e">
            <v>#REF!</v>
          </cell>
          <cell r="E270" t="str">
            <v>Adnan (Lien) (24-02-2025)</v>
          </cell>
          <cell r="F270">
            <v>16</v>
          </cell>
          <cell r="G270" t="str">
            <v>Senior Assistant</v>
          </cell>
          <cell r="H270"/>
          <cell r="J270"/>
        </row>
        <row r="271">
          <cell r="A271" t="str">
            <v>DEO-039</v>
          </cell>
          <cell r="B271" t="str">
            <v xml:space="preserve">Data Entry Operator </v>
          </cell>
          <cell r="C271" t="str">
            <v>DEC Kashmore  _ REC Larkana</v>
          </cell>
          <cell r="D271" t="e">
            <v>#REF!</v>
          </cell>
          <cell r="E271" t="str">
            <v>Nadar Ali</v>
          </cell>
          <cell r="F271">
            <v>15</v>
          </cell>
          <cell r="G271" t="str">
            <v xml:space="preserve">Data Entry Operator </v>
          </cell>
          <cell r="H271"/>
          <cell r="J271"/>
        </row>
        <row r="272">
          <cell r="A272" t="str">
            <v>DEO-040</v>
          </cell>
          <cell r="B272" t="str">
            <v xml:space="preserve">Data Entry Operator </v>
          </cell>
          <cell r="C272" t="str">
            <v>DEC Kashmore  _ REC Larkana</v>
          </cell>
          <cell r="D272" t="e">
            <v>#REF!</v>
          </cell>
          <cell r="E272" t="str">
            <v>vacant</v>
          </cell>
          <cell r="F272">
            <v>14</v>
          </cell>
          <cell r="G272" t="str">
            <v xml:space="preserve">Data Entry Operator </v>
          </cell>
          <cell r="H272"/>
          <cell r="J272"/>
        </row>
        <row r="273">
          <cell r="A273" t="str">
            <v>JA-032</v>
          </cell>
          <cell r="B273" t="str">
            <v>Junior Assistant</v>
          </cell>
          <cell r="C273" t="str">
            <v>DEC Kashmore  _ REC Larkana</v>
          </cell>
          <cell r="D273" t="e">
            <v>#REF!</v>
          </cell>
          <cell r="E273" t="str">
            <v>Muhammad Afzal</v>
          </cell>
          <cell r="F273">
            <v>13</v>
          </cell>
          <cell r="G273" t="str">
            <v>Junior Assistant</v>
          </cell>
          <cell r="H273"/>
          <cell r="J273"/>
        </row>
        <row r="274">
          <cell r="A274" t="str">
            <v>SUB-039</v>
          </cell>
          <cell r="B274" t="str">
            <v>Sub Assistant</v>
          </cell>
          <cell r="C274" t="str">
            <v>DEC Kashmore  _ REC Larkana</v>
          </cell>
          <cell r="D274" t="e">
            <v>#REF!</v>
          </cell>
          <cell r="E274" t="str">
            <v>Vacant</v>
          </cell>
          <cell r="F274">
            <v>11</v>
          </cell>
          <cell r="G274" t="str">
            <v>Sub Assistant</v>
          </cell>
          <cell r="H274"/>
          <cell r="J274"/>
        </row>
        <row r="275">
          <cell r="A275" t="str">
            <v>SUB-040</v>
          </cell>
          <cell r="B275" t="str">
            <v>Sub Assistant</v>
          </cell>
          <cell r="C275" t="str">
            <v>DEC Kashmore  _ REC Larkana</v>
          </cell>
          <cell r="D275" t="e">
            <v>#REF!</v>
          </cell>
          <cell r="E275" t="str">
            <v>Vacant</v>
          </cell>
          <cell r="F275">
            <v>11</v>
          </cell>
          <cell r="G275" t="str">
            <v>Sub Assistant</v>
          </cell>
          <cell r="H275"/>
          <cell r="J275"/>
        </row>
        <row r="276">
          <cell r="A276" t="str">
            <v>SCD-018</v>
          </cell>
          <cell r="B276" t="str">
            <v>Staff Car Driver</v>
          </cell>
          <cell r="C276" t="str">
            <v>DEC Kashmore  _ REC Larkana</v>
          </cell>
          <cell r="D276" t="e">
            <v>#REF!</v>
          </cell>
          <cell r="E276" t="str">
            <v>Asghar Ali Mahesar</v>
          </cell>
          <cell r="F276">
            <v>7</v>
          </cell>
          <cell r="G276" t="str">
            <v>Staff Car Driver</v>
          </cell>
          <cell r="H276"/>
          <cell r="J276"/>
        </row>
        <row r="277">
          <cell r="A277" t="str">
            <v>CH-031</v>
          </cell>
          <cell r="B277" t="str">
            <v>Chowkidar</v>
          </cell>
          <cell r="C277" t="str">
            <v>DEC Larkana  _ REC Larkana</v>
          </cell>
          <cell r="D277" t="e">
            <v>#REF!</v>
          </cell>
          <cell r="E277" t="str">
            <v>Vacant</v>
          </cell>
          <cell r="F277">
            <v>4</v>
          </cell>
          <cell r="G277" t="str">
            <v>Chowkidar</v>
          </cell>
          <cell r="H277"/>
          <cell r="J277"/>
        </row>
        <row r="278">
          <cell r="A278" t="str">
            <v>NQ-053</v>
          </cell>
          <cell r="B278" t="str">
            <v>Naib Quasid</v>
          </cell>
          <cell r="C278" t="str">
            <v>DEC Kashmore  _ REC Larkana</v>
          </cell>
          <cell r="D278" t="e">
            <v>#REF!</v>
          </cell>
          <cell r="E278" t="str">
            <v>Ali Raza</v>
          </cell>
          <cell r="F278">
            <v>4</v>
          </cell>
          <cell r="G278" t="str">
            <v>Naib Quasid</v>
          </cell>
          <cell r="H278"/>
          <cell r="J278"/>
        </row>
        <row r="279">
          <cell r="A279" t="str">
            <v>NQ-054</v>
          </cell>
          <cell r="B279" t="str">
            <v>Naib Quasid</v>
          </cell>
          <cell r="C279" t="str">
            <v>DEC Kashmore  _ REC Larkana</v>
          </cell>
          <cell r="D279" t="e">
            <v>#REF!</v>
          </cell>
          <cell r="E279" t="str">
            <v xml:space="preserve">Mst: Abida </v>
          </cell>
          <cell r="F279">
            <v>4</v>
          </cell>
          <cell r="G279" t="str">
            <v>Naib Quasid</v>
          </cell>
          <cell r="H279"/>
          <cell r="J279"/>
        </row>
        <row r="280">
          <cell r="A280" t="str">
            <v>SA-030</v>
          </cell>
          <cell r="B280" t="str">
            <v>Senior Assistant</v>
          </cell>
          <cell r="C280" t="str">
            <v>DEC Kamber-Shahdadkot  _ REC Larkana</v>
          </cell>
          <cell r="D280" t="e">
            <v>#REF!</v>
          </cell>
          <cell r="E280" t="str">
            <v>Sohail Rasheed</v>
          </cell>
          <cell r="F280">
            <v>16</v>
          </cell>
          <cell r="G280" t="str">
            <v>Senior Assistant</v>
          </cell>
          <cell r="H280"/>
          <cell r="J280"/>
        </row>
        <row r="281">
          <cell r="A281" t="str">
            <v>DEO-041</v>
          </cell>
          <cell r="B281" t="str">
            <v xml:space="preserve">Data Entry Operator </v>
          </cell>
          <cell r="C281" t="str">
            <v>DEC Kamber-Shahdadkot  _ REC Larkana</v>
          </cell>
          <cell r="D281" t="e">
            <v>#REF!</v>
          </cell>
          <cell r="E281" t="str">
            <v>Athar Channa</v>
          </cell>
          <cell r="F281">
            <v>15</v>
          </cell>
          <cell r="G281" t="str">
            <v xml:space="preserve">Data Entry Operator </v>
          </cell>
          <cell r="H281"/>
          <cell r="J281"/>
        </row>
        <row r="282">
          <cell r="A282" t="str">
            <v>DEO-042</v>
          </cell>
          <cell r="B282" t="str">
            <v xml:space="preserve">Data Entry Operator </v>
          </cell>
          <cell r="C282" t="str">
            <v>DEC Kamber-Shahdadkot  _ REC Larkana</v>
          </cell>
          <cell r="D282" t="e">
            <v>#REF!</v>
          </cell>
          <cell r="E282" t="str">
            <v>Muhammad Murtaza</v>
          </cell>
          <cell r="F282">
            <v>15</v>
          </cell>
          <cell r="G282" t="str">
            <v xml:space="preserve">Data Entry Operator </v>
          </cell>
          <cell r="H282"/>
          <cell r="J282"/>
        </row>
        <row r="283">
          <cell r="A283" t="str">
            <v>DEO-043</v>
          </cell>
          <cell r="B283" t="str">
            <v xml:space="preserve">Data Entry Operator </v>
          </cell>
          <cell r="C283" t="str">
            <v>DEC Kamber-Shahdadkot  _ REC Larkana</v>
          </cell>
          <cell r="D283" t="e">
            <v>#REF!</v>
          </cell>
          <cell r="E283" t="str">
            <v>Junaid Ahmed Magsi</v>
          </cell>
          <cell r="F283">
            <v>15</v>
          </cell>
          <cell r="G283" t="str">
            <v xml:space="preserve">Data Entry Operator </v>
          </cell>
          <cell r="H283"/>
          <cell r="J283"/>
        </row>
        <row r="284">
          <cell r="A284" t="str">
            <v>JA-033</v>
          </cell>
          <cell r="B284" t="str">
            <v>Junior Assistant</v>
          </cell>
          <cell r="C284" t="str">
            <v>DEC Kamber-Shahdadkot  _ REC Larkana</v>
          </cell>
          <cell r="D284" t="e">
            <v>#REF!</v>
          </cell>
          <cell r="E284" t="str">
            <v>Unain Ahmed Abbasi</v>
          </cell>
          <cell r="F284">
            <v>13</v>
          </cell>
          <cell r="G284" t="str">
            <v>Junior Assistant</v>
          </cell>
          <cell r="H284"/>
          <cell r="J284"/>
        </row>
        <row r="285">
          <cell r="A285" t="str">
            <v>SUB-041</v>
          </cell>
          <cell r="B285" t="str">
            <v>Sub Assistant</v>
          </cell>
          <cell r="C285" t="str">
            <v>DEC Kamber-Shahdadkot  _ REC Larkana</v>
          </cell>
          <cell r="D285" t="e">
            <v>#REF!</v>
          </cell>
          <cell r="E285" t="str">
            <v>Abdul Basit</v>
          </cell>
          <cell r="F285">
            <v>11</v>
          </cell>
          <cell r="G285" t="str">
            <v>Sub Assistant</v>
          </cell>
          <cell r="H285"/>
          <cell r="J285"/>
        </row>
        <row r="286">
          <cell r="A286" t="str">
            <v>SUB-042</v>
          </cell>
          <cell r="B286" t="str">
            <v>Sub Assistant</v>
          </cell>
          <cell r="C286" t="str">
            <v>DEC Kamber-Shahdadkot  _ REC Larkana</v>
          </cell>
          <cell r="D286" t="e">
            <v>#REF!</v>
          </cell>
          <cell r="E286" t="str">
            <v>Abdul Raheem (Disabled)</v>
          </cell>
          <cell r="F286">
            <v>11</v>
          </cell>
          <cell r="G286" t="str">
            <v>Sub Assistant</v>
          </cell>
          <cell r="H286"/>
          <cell r="J286"/>
        </row>
        <row r="287">
          <cell r="A287" t="str">
            <v>SCD-035</v>
          </cell>
          <cell r="B287" t="str">
            <v>Staff Car Driver</v>
          </cell>
          <cell r="C287" t="str">
            <v>DEC Kamber-Shahdadkot  _ REC Larkana</v>
          </cell>
          <cell r="D287" t="e">
            <v>#REF!</v>
          </cell>
          <cell r="E287" t="str">
            <v>Vacant</v>
          </cell>
          <cell r="F287">
            <v>5</v>
          </cell>
          <cell r="G287" t="str">
            <v>Staff Car Driver</v>
          </cell>
          <cell r="H287"/>
          <cell r="J287"/>
        </row>
        <row r="288">
          <cell r="A288" t="str">
            <v>CH-032</v>
          </cell>
          <cell r="B288" t="str">
            <v>Chowkidar</v>
          </cell>
          <cell r="C288" t="str">
            <v>DEC Kamber-Shahdadkot  _ REC Larkana</v>
          </cell>
          <cell r="D288" t="e">
            <v>#REF!</v>
          </cell>
          <cell r="E288" t="str">
            <v>Nisar Ahmed Wagan</v>
          </cell>
          <cell r="F288">
            <v>4</v>
          </cell>
          <cell r="G288" t="str">
            <v>Chowkidar</v>
          </cell>
          <cell r="H288"/>
          <cell r="J288"/>
        </row>
        <row r="289">
          <cell r="A289" t="str">
            <v>CH-033</v>
          </cell>
          <cell r="B289" t="str">
            <v>Chowkidar</v>
          </cell>
          <cell r="C289" t="str">
            <v>DEC Kamber-Shahdadkot  _ REC Larkana</v>
          </cell>
          <cell r="D289" t="e">
            <v>#REF!</v>
          </cell>
          <cell r="E289" t="str">
            <v>Shamsuddin Abbasi</v>
          </cell>
          <cell r="F289">
            <v>4</v>
          </cell>
          <cell r="G289" t="str">
            <v>Chowkidar</v>
          </cell>
          <cell r="H289"/>
          <cell r="J289"/>
        </row>
        <row r="290">
          <cell r="A290" t="str">
            <v>NQ-056</v>
          </cell>
          <cell r="B290" t="str">
            <v>Naib Quasid</v>
          </cell>
          <cell r="C290" t="str">
            <v>DEC Kamber-Shahdadkot  _ REC Larkana</v>
          </cell>
          <cell r="D290" t="e">
            <v>#REF!</v>
          </cell>
          <cell r="E290" t="str">
            <v xml:space="preserve">Yasir Ali </v>
          </cell>
          <cell r="F290">
            <v>4</v>
          </cell>
          <cell r="G290" t="str">
            <v>Naib Quasid</v>
          </cell>
          <cell r="H290"/>
          <cell r="J290"/>
        </row>
        <row r="291">
          <cell r="A291" t="str">
            <v>NQ-055</v>
          </cell>
          <cell r="B291" t="str">
            <v>Naib Quasid</v>
          </cell>
          <cell r="C291" t="str">
            <v>DEC Kamber-Shahdadkot  _ REC Larkana</v>
          </cell>
          <cell r="D291" t="e">
            <v>#REF!</v>
          </cell>
          <cell r="E291" t="str">
            <v>Vacant</v>
          </cell>
          <cell r="F291">
            <v>2</v>
          </cell>
          <cell r="G291" t="str">
            <v>Naib Quasid</v>
          </cell>
          <cell r="H291"/>
          <cell r="J291"/>
        </row>
        <row r="292">
          <cell r="A292" t="str">
            <v>DAD-004</v>
          </cell>
          <cell r="B292" t="str">
            <v>Deputy Assistant Director</v>
          </cell>
          <cell r="C292" t="str">
            <v>HR Pool</v>
          </cell>
          <cell r="D292" t="e">
            <v>#REF!</v>
          </cell>
          <cell r="E292" t="str">
            <v>Naveed (30-10-2024)</v>
          </cell>
          <cell r="F292">
            <v>16</v>
          </cell>
          <cell r="G292" t="str">
            <v>Deputy Assistant Director</v>
          </cell>
          <cell r="H292"/>
          <cell r="J292"/>
        </row>
        <row r="293">
          <cell r="A293" t="str">
            <v>SPA-007</v>
          </cell>
          <cell r="B293" t="str">
            <v xml:space="preserve">Senior Personal Assistant </v>
          </cell>
          <cell r="C293" t="str">
            <v>REC Hyderabad _ REC Hyderabad</v>
          </cell>
          <cell r="D293" t="e">
            <v>#REF!</v>
          </cell>
          <cell r="E293" t="str">
            <v>Muhammad Imran</v>
          </cell>
          <cell r="F293">
            <v>16</v>
          </cell>
          <cell r="G293" t="str">
            <v xml:space="preserve">Senior Personal Assistant </v>
          </cell>
          <cell r="H293">
            <v>2</v>
          </cell>
          <cell r="I293">
            <v>0.65</v>
          </cell>
          <cell r="J293" t="str">
            <v>Carefully listened to all lectures. Actively participated in all activities.</v>
          </cell>
        </row>
        <row r="294">
          <cell r="A294" t="str">
            <v>DEO-044</v>
          </cell>
          <cell r="B294" t="str">
            <v xml:space="preserve">Data Entry Operator </v>
          </cell>
          <cell r="C294" t="str">
            <v>HR Pool</v>
          </cell>
          <cell r="D294" t="e">
            <v>#REF!</v>
          </cell>
          <cell r="E294" t="str">
            <v>Muhammad Atif (Lien) (27-02-2025)</v>
          </cell>
          <cell r="F294">
            <v>14</v>
          </cell>
          <cell r="G294" t="str">
            <v xml:space="preserve">Data Entry Operator </v>
          </cell>
          <cell r="H294"/>
          <cell r="J294"/>
        </row>
        <row r="295">
          <cell r="A295" t="str">
            <v>SA-032</v>
          </cell>
          <cell r="B295" t="str">
            <v>Senior Assistant</v>
          </cell>
          <cell r="C295" t="str">
            <v>REC Hyderabad _ REC Hyderabad</v>
          </cell>
          <cell r="D295" t="e">
            <v>#REF!</v>
          </cell>
          <cell r="E295" t="str">
            <v>Vacant</v>
          </cell>
          <cell r="F295">
            <v>15</v>
          </cell>
          <cell r="G295" t="str">
            <v>Senior Assistant</v>
          </cell>
          <cell r="H295"/>
          <cell r="J295"/>
        </row>
        <row r="296">
          <cell r="A296" t="str">
            <v>JA-034</v>
          </cell>
          <cell r="B296" t="str">
            <v>Junior Assistant</v>
          </cell>
          <cell r="C296" t="str">
            <v>REC Hyderabad _ REC Hyderabad</v>
          </cell>
          <cell r="D296" t="e">
            <v>#REF!</v>
          </cell>
          <cell r="E296" t="str">
            <v>Kamran</v>
          </cell>
          <cell r="F296">
            <v>13</v>
          </cell>
          <cell r="G296" t="str">
            <v>Junior Assistant</v>
          </cell>
          <cell r="H296">
            <v>3</v>
          </cell>
          <cell r="I296">
            <v>0.7</v>
          </cell>
          <cell r="J296" t="str">
            <v>B Grade</v>
          </cell>
        </row>
        <row r="297">
          <cell r="A297" t="str">
            <v>SUB-043</v>
          </cell>
          <cell r="B297" t="str">
            <v>Sub Assistant</v>
          </cell>
          <cell r="C297" t="str">
            <v>REC Hyderabad _ REC Hyderabad</v>
          </cell>
          <cell r="D297" t="e">
            <v>#REF!</v>
          </cell>
          <cell r="E297" t="str">
            <v>Faiza</v>
          </cell>
          <cell r="F297">
            <v>11</v>
          </cell>
          <cell r="G297" t="str">
            <v>Sub Assistant</v>
          </cell>
          <cell r="H297">
            <v>3</v>
          </cell>
          <cell r="I297">
            <v>0.7</v>
          </cell>
          <cell r="J297" t="str">
            <v>B Grade</v>
          </cell>
        </row>
        <row r="298">
          <cell r="A298" t="str">
            <v>DR-006</v>
          </cell>
          <cell r="B298" t="str">
            <v>Dispatch Rider</v>
          </cell>
          <cell r="C298" t="str">
            <v>REC Hyderabad _ REC Hyderabad</v>
          </cell>
          <cell r="D298" t="e">
            <v>#REF!</v>
          </cell>
          <cell r="E298" t="str">
            <v>Hamza</v>
          </cell>
          <cell r="F298">
            <v>7</v>
          </cell>
          <cell r="G298" t="str">
            <v>Dispatch Rider</v>
          </cell>
          <cell r="H298"/>
          <cell r="J298"/>
        </row>
        <row r="299">
          <cell r="A299" t="str">
            <v>SCD-020</v>
          </cell>
          <cell r="B299" t="str">
            <v>Staff Car Driver</v>
          </cell>
          <cell r="C299" t="str">
            <v>REC Hyderabad _ REC Hyderabad</v>
          </cell>
          <cell r="D299" t="e">
            <v>#REF!</v>
          </cell>
          <cell r="E299" t="str">
            <v>Waheed Ali</v>
          </cell>
          <cell r="F299">
            <v>7</v>
          </cell>
          <cell r="G299" t="str">
            <v>Staff Car Driver</v>
          </cell>
          <cell r="H299">
            <v>3</v>
          </cell>
          <cell r="I299">
            <v>0.8</v>
          </cell>
          <cell r="J299" t="str">
            <v>A Grade</v>
          </cell>
        </row>
        <row r="300">
          <cell r="A300" t="str">
            <v>CH-034</v>
          </cell>
          <cell r="B300" t="str">
            <v>Chowkidar</v>
          </cell>
          <cell r="C300" t="str">
            <v>REC Hyderabad _ REC Hyderabad</v>
          </cell>
          <cell r="D300" t="e">
            <v>#REF!</v>
          </cell>
          <cell r="E300" t="str">
            <v>Amanullah Shaikh</v>
          </cell>
          <cell r="F300">
            <v>4</v>
          </cell>
          <cell r="G300" t="str">
            <v>Chowkidar</v>
          </cell>
          <cell r="H300"/>
          <cell r="J300"/>
        </row>
        <row r="301">
          <cell r="A301" t="str">
            <v>NQ-057</v>
          </cell>
          <cell r="B301" t="str">
            <v>Naib Quasid</v>
          </cell>
          <cell r="C301" t="str">
            <v>REC Hyderabad _ REC Hyderabad</v>
          </cell>
          <cell r="D301" t="e">
            <v>#REF!</v>
          </cell>
          <cell r="E301" t="str">
            <v>Syed Ahsan Ali</v>
          </cell>
          <cell r="F301">
            <v>2</v>
          </cell>
          <cell r="G301" t="str">
            <v>Naib Quasid</v>
          </cell>
          <cell r="H301"/>
          <cell r="J301"/>
        </row>
        <row r="302">
          <cell r="A302" t="str">
            <v>SA-031</v>
          </cell>
          <cell r="B302" t="str">
            <v>Senior Assistant</v>
          </cell>
          <cell r="C302" t="str">
            <v>REC Hyderabad Strong Room _ REC Hyderabad</v>
          </cell>
          <cell r="D302" t="e">
            <v>#REF!</v>
          </cell>
          <cell r="E302" t="str">
            <v xml:space="preserve">Akhtar Hussain </v>
          </cell>
          <cell r="F302">
            <v>16</v>
          </cell>
          <cell r="G302" t="str">
            <v>Senior Assistant</v>
          </cell>
          <cell r="H302"/>
          <cell r="J302"/>
        </row>
        <row r="303">
          <cell r="A303" t="str">
            <v>JA-035</v>
          </cell>
          <cell r="B303" t="str">
            <v>Junior Assistant</v>
          </cell>
          <cell r="C303" t="str">
            <v>REC Hyderabad Strong Room _ REC Hyderabad</v>
          </cell>
          <cell r="D303" t="e">
            <v>#REF!</v>
          </cell>
          <cell r="E303" t="str">
            <v>Adnan Halepoto</v>
          </cell>
          <cell r="F303">
            <v>13</v>
          </cell>
          <cell r="G303" t="str">
            <v>Junior Assistant</v>
          </cell>
          <cell r="H303"/>
          <cell r="J303"/>
        </row>
        <row r="304">
          <cell r="A304" t="str">
            <v>CH-035</v>
          </cell>
          <cell r="B304" t="str">
            <v>Chowkidar</v>
          </cell>
          <cell r="C304" t="str">
            <v>REC Hyderabad Strong Room _ REC Hyderabad</v>
          </cell>
          <cell r="D304" t="e">
            <v>#REF!</v>
          </cell>
          <cell r="E304" t="str">
            <v xml:space="preserve">Mumtaz Ali Panhwar </v>
          </cell>
          <cell r="F304">
            <v>4</v>
          </cell>
          <cell r="G304" t="str">
            <v>Chowkidar</v>
          </cell>
          <cell r="H304"/>
          <cell r="J304"/>
        </row>
        <row r="305">
          <cell r="A305" t="str">
            <v>NQ-059</v>
          </cell>
          <cell r="B305" t="str">
            <v>Naib Quasid</v>
          </cell>
          <cell r="C305" t="str">
            <v>REC Hyderabad Strong Room _ REC Hyderabad</v>
          </cell>
          <cell r="D305" t="e">
            <v>#REF!</v>
          </cell>
          <cell r="E305" t="str">
            <v>Haneefullah</v>
          </cell>
          <cell r="F305">
            <v>2</v>
          </cell>
          <cell r="G305" t="str">
            <v>Naib Quasid</v>
          </cell>
          <cell r="H305">
            <v>3</v>
          </cell>
          <cell r="I305">
            <v>0.5</v>
          </cell>
          <cell r="J305" t="str">
            <v>C Grade</v>
          </cell>
        </row>
        <row r="306">
          <cell r="A306" t="str">
            <v>JPA-009</v>
          </cell>
          <cell r="B306" t="str">
            <v>Junior Personal Assistant (Law Officer)</v>
          </cell>
          <cell r="C306" t="str">
            <v>AD (Law) REC Hyderabad _ REC Hyderabad</v>
          </cell>
          <cell r="D306" t="e">
            <v>#REF!</v>
          </cell>
          <cell r="E306" t="str">
            <v>Shehzad Memon</v>
          </cell>
          <cell r="F306">
            <v>15</v>
          </cell>
          <cell r="G306" t="str">
            <v>Junior Personal Assistant (Law Officer)</v>
          </cell>
          <cell r="H306"/>
          <cell r="J306"/>
        </row>
        <row r="307">
          <cell r="A307" t="str">
            <v>NQ-058</v>
          </cell>
          <cell r="B307" t="str">
            <v>Naib Quasid (Law)</v>
          </cell>
          <cell r="C307" t="str">
            <v>AD (Law) REC Hyderabad _ REC Hyderabad</v>
          </cell>
          <cell r="D307" t="e">
            <v>#REF!</v>
          </cell>
          <cell r="E307" t="str">
            <v>Muhammad Ramzan Halepoto</v>
          </cell>
          <cell r="F307">
            <v>5</v>
          </cell>
          <cell r="G307" t="str">
            <v>Naib Quasid (Law)</v>
          </cell>
          <cell r="H307"/>
          <cell r="J307"/>
        </row>
        <row r="308">
          <cell r="A308" t="str">
            <v>SA-033</v>
          </cell>
          <cell r="B308" t="str">
            <v>Senior Assistant</v>
          </cell>
          <cell r="C308" t="str">
            <v>DEC Hyderabad _ REC Hyderabad</v>
          </cell>
          <cell r="D308" t="e">
            <v>#REF!</v>
          </cell>
          <cell r="E308" t="str">
            <v>Mrs. Shumaila Hafeez</v>
          </cell>
          <cell r="F308">
            <v>16</v>
          </cell>
          <cell r="G308" t="str">
            <v>Senior Assistant</v>
          </cell>
          <cell r="H308">
            <v>3</v>
          </cell>
          <cell r="I308">
            <v>0.7</v>
          </cell>
          <cell r="J308" t="str">
            <v>C Grade</v>
          </cell>
        </row>
        <row r="309">
          <cell r="A309" t="str">
            <v>DEO-045</v>
          </cell>
          <cell r="B309" t="str">
            <v xml:space="preserve">Data Entry Operator </v>
          </cell>
          <cell r="C309" t="str">
            <v>DEC Hyderabad _ REC Hyderabad</v>
          </cell>
          <cell r="D309" t="e">
            <v>#REF!</v>
          </cell>
          <cell r="E309" t="str">
            <v>Naveed Ali Chohan</v>
          </cell>
          <cell r="F309">
            <v>15</v>
          </cell>
          <cell r="G309" t="str">
            <v xml:space="preserve">Data Entry Operator </v>
          </cell>
          <cell r="H309"/>
          <cell r="J309"/>
        </row>
        <row r="310">
          <cell r="A310" t="str">
            <v>DEO-046</v>
          </cell>
          <cell r="B310" t="str">
            <v xml:space="preserve">Data Entry Operator </v>
          </cell>
          <cell r="C310" t="str">
            <v>REC Hyderabad _ REC Hyderabad</v>
          </cell>
          <cell r="D310" t="e">
            <v>#REF!</v>
          </cell>
          <cell r="E310" t="str">
            <v>Waleed Raza Shah</v>
          </cell>
          <cell r="F310">
            <v>15</v>
          </cell>
          <cell r="G310" t="str">
            <v xml:space="preserve">Data Entry Operator </v>
          </cell>
          <cell r="H310"/>
          <cell r="J310"/>
        </row>
        <row r="311">
          <cell r="A311" t="str">
            <v>DEO-047</v>
          </cell>
          <cell r="B311" t="str">
            <v xml:space="preserve">Data Entry Operator </v>
          </cell>
          <cell r="C311" t="str">
            <v>DEC Hyderabad _ REC Hyderabad</v>
          </cell>
          <cell r="D311" t="e">
            <v>#REF!</v>
          </cell>
          <cell r="E311" t="str">
            <v>Kashif Ilahi</v>
          </cell>
          <cell r="F311">
            <v>15</v>
          </cell>
          <cell r="G311" t="str">
            <v xml:space="preserve">Data Entry Operator </v>
          </cell>
          <cell r="H311"/>
          <cell r="J311"/>
        </row>
        <row r="312">
          <cell r="A312" t="str">
            <v>JA-036</v>
          </cell>
          <cell r="B312" t="str">
            <v>Junior Assistant</v>
          </cell>
          <cell r="C312" t="str">
            <v>DEC Hyderabad _ REC Hyderabad</v>
          </cell>
          <cell r="D312" t="e">
            <v>#REF!</v>
          </cell>
          <cell r="E312" t="str">
            <v>Sadaf</v>
          </cell>
          <cell r="F312">
            <v>13</v>
          </cell>
          <cell r="G312" t="str">
            <v>Junior Assistant</v>
          </cell>
          <cell r="H312">
            <v>3</v>
          </cell>
          <cell r="I312">
            <v>0.7</v>
          </cell>
          <cell r="J312" t="str">
            <v>B Grade</v>
          </cell>
        </row>
        <row r="313">
          <cell r="A313" t="str">
            <v>SUB-044</v>
          </cell>
          <cell r="B313" t="str">
            <v>Sub Assistant</v>
          </cell>
          <cell r="C313" t="str">
            <v>DEC Hyderabad _ REC Hyderabad</v>
          </cell>
          <cell r="D313" t="e">
            <v>#REF!</v>
          </cell>
          <cell r="E313" t="str">
            <v>Akber Ali Abbasi</v>
          </cell>
          <cell r="F313">
            <v>11</v>
          </cell>
          <cell r="G313" t="str">
            <v>Sub Assistant</v>
          </cell>
          <cell r="H313"/>
          <cell r="J313"/>
        </row>
        <row r="314">
          <cell r="A314" t="str">
            <v>SUB-045</v>
          </cell>
          <cell r="B314" t="str">
            <v>Sub Assistant</v>
          </cell>
          <cell r="C314" t="str">
            <v>DEC Hyderabad _ REC Hyderabad</v>
          </cell>
          <cell r="D314" t="e">
            <v>#REF!</v>
          </cell>
          <cell r="E314" t="str">
            <v>Muhammad Umair</v>
          </cell>
          <cell r="F314">
            <v>11</v>
          </cell>
          <cell r="G314" t="str">
            <v>Sub Assistant</v>
          </cell>
          <cell r="H314"/>
          <cell r="J314"/>
        </row>
        <row r="315">
          <cell r="A315" t="str">
            <v>SCD-021</v>
          </cell>
          <cell r="B315" t="str">
            <v>Staff Car Driver</v>
          </cell>
          <cell r="C315" t="str">
            <v>DEC Hyderabad _ REC Hyderabad</v>
          </cell>
          <cell r="D315" t="e">
            <v>#REF!</v>
          </cell>
          <cell r="E315" t="str">
            <v>Altaf Ali</v>
          </cell>
          <cell r="F315">
            <v>7</v>
          </cell>
          <cell r="G315" t="str">
            <v>Staff Car Driver</v>
          </cell>
          <cell r="H315"/>
          <cell r="J315"/>
        </row>
        <row r="316">
          <cell r="A316" t="str">
            <v>CH-037</v>
          </cell>
          <cell r="B316" t="str">
            <v>Chowkidar</v>
          </cell>
          <cell r="C316" t="str">
            <v>DEC Hyderabad _ REC Hyderabad</v>
          </cell>
          <cell r="D316" t="e">
            <v>#REF!</v>
          </cell>
          <cell r="E316" t="str">
            <v>Ali Dino</v>
          </cell>
          <cell r="F316">
            <v>5</v>
          </cell>
          <cell r="G316" t="str">
            <v>Chowkidar</v>
          </cell>
          <cell r="H316"/>
          <cell r="J316"/>
        </row>
        <row r="317">
          <cell r="A317" t="str">
            <v>NQ-061</v>
          </cell>
          <cell r="B317" t="str">
            <v>Naib Quasid</v>
          </cell>
          <cell r="C317" t="str">
            <v>DEC Hyderabad _ REC Hyderabad</v>
          </cell>
          <cell r="D317" t="e">
            <v>#REF!</v>
          </cell>
          <cell r="E317" t="str">
            <v>Abid Ali Shoro</v>
          </cell>
          <cell r="F317">
            <v>5</v>
          </cell>
          <cell r="G317" t="str">
            <v>Naib Quasid</v>
          </cell>
          <cell r="H317"/>
          <cell r="J317"/>
        </row>
        <row r="318">
          <cell r="A318" t="str">
            <v>CH-036</v>
          </cell>
          <cell r="B318" t="str">
            <v>Chowkidar</v>
          </cell>
          <cell r="C318" t="str">
            <v>DEC Hyderabad _ REC Hyderabad</v>
          </cell>
          <cell r="D318" t="e">
            <v>#REF!</v>
          </cell>
          <cell r="E318" t="str">
            <v>Ghulam Rabbani</v>
          </cell>
          <cell r="F318">
            <v>4</v>
          </cell>
          <cell r="G318" t="str">
            <v>Chowkidar</v>
          </cell>
          <cell r="H318"/>
          <cell r="J318"/>
        </row>
        <row r="319">
          <cell r="A319" t="str">
            <v>NQ-060</v>
          </cell>
          <cell r="B319" t="str">
            <v>Naib Quasid</v>
          </cell>
          <cell r="C319" t="str">
            <v>DEC Hyderabad _ REC Hyderabad</v>
          </cell>
          <cell r="D319" t="e">
            <v>#REF!</v>
          </cell>
          <cell r="E319" t="str">
            <v>Zeeshan</v>
          </cell>
          <cell r="F319">
            <v>4</v>
          </cell>
          <cell r="G319" t="str">
            <v>Naib Quasid</v>
          </cell>
          <cell r="H319"/>
          <cell r="J319"/>
        </row>
        <row r="320">
          <cell r="A320" t="str">
            <v>SA-034</v>
          </cell>
          <cell r="B320" t="str">
            <v>Senior Assistant</v>
          </cell>
          <cell r="C320" t="str">
            <v>DEC Dadu _ REC Hyderabad</v>
          </cell>
          <cell r="D320" t="e">
            <v>#REF!</v>
          </cell>
          <cell r="E320" t="str">
            <v>Ibrar Saqib</v>
          </cell>
          <cell r="F320">
            <v>16</v>
          </cell>
          <cell r="G320" t="str">
            <v>Senior Assistant</v>
          </cell>
          <cell r="H320"/>
          <cell r="J320"/>
        </row>
        <row r="321">
          <cell r="A321" t="str">
            <v>DEO-048</v>
          </cell>
          <cell r="B321" t="str">
            <v xml:space="preserve">Data Entry Operator </v>
          </cell>
          <cell r="C321" t="str">
            <v>DEC Dadu _ REC Hyderabad</v>
          </cell>
          <cell r="D321" t="e">
            <v>#REF!</v>
          </cell>
          <cell r="E321" t="str">
            <v>Faizan Ahmed Thebo</v>
          </cell>
          <cell r="F321">
            <v>15</v>
          </cell>
          <cell r="G321" t="str">
            <v xml:space="preserve">Data Entry Operator </v>
          </cell>
          <cell r="H321"/>
          <cell r="J321"/>
        </row>
        <row r="322">
          <cell r="A322" t="str">
            <v>DEO-049</v>
          </cell>
          <cell r="B322" t="str">
            <v xml:space="preserve">Data Entry Operator </v>
          </cell>
          <cell r="C322" t="str">
            <v>DEC Dadu _ REC Hyderabad</v>
          </cell>
          <cell r="D322" t="e">
            <v>#REF!</v>
          </cell>
          <cell r="E322" t="str">
            <v>Aftab Ali</v>
          </cell>
          <cell r="F322">
            <v>15</v>
          </cell>
          <cell r="G322" t="str">
            <v xml:space="preserve">Data Entry Operator </v>
          </cell>
          <cell r="H322">
            <v>3</v>
          </cell>
          <cell r="I322">
            <v>0.7</v>
          </cell>
          <cell r="J322" t="str">
            <v>B Grade</v>
          </cell>
        </row>
        <row r="323">
          <cell r="A323" t="str">
            <v>DEO-050</v>
          </cell>
          <cell r="B323" t="str">
            <v xml:space="preserve">Data Entry Operator </v>
          </cell>
          <cell r="C323" t="str">
            <v>DEC Dadu _ REC Hyderabad</v>
          </cell>
          <cell r="D323" t="e">
            <v>#REF!</v>
          </cell>
          <cell r="E323" t="str">
            <v>Safeer Hussain</v>
          </cell>
          <cell r="F323">
            <v>14</v>
          </cell>
          <cell r="G323" t="str">
            <v xml:space="preserve">Data Entry Operator </v>
          </cell>
          <cell r="H323">
            <v>3</v>
          </cell>
          <cell r="I323">
            <v>0.6</v>
          </cell>
          <cell r="J323" t="str">
            <v>C Grade</v>
          </cell>
        </row>
        <row r="324">
          <cell r="A324" t="str">
            <v>JA-037</v>
          </cell>
          <cell r="B324" t="str">
            <v>Junior Assistant</v>
          </cell>
          <cell r="C324" t="str">
            <v>DEC Dadu _ REC Hyderabad</v>
          </cell>
          <cell r="D324" t="e">
            <v>#REF!</v>
          </cell>
          <cell r="E324" t="str">
            <v xml:space="preserve">Zafar Ali Siyal  </v>
          </cell>
          <cell r="F324">
            <v>13</v>
          </cell>
          <cell r="G324" t="str">
            <v>Junior Assistant</v>
          </cell>
          <cell r="H324"/>
          <cell r="J324"/>
        </row>
        <row r="325">
          <cell r="A325" t="str">
            <v>SUB-046</v>
          </cell>
          <cell r="B325" t="str">
            <v>Sub Assistant</v>
          </cell>
          <cell r="C325" t="str">
            <v>DEC Dadu _ REC Hyderabad</v>
          </cell>
          <cell r="D325" t="e">
            <v>#REF!</v>
          </cell>
          <cell r="E325" t="str">
            <v>Aakash Kumar</v>
          </cell>
          <cell r="F325">
            <v>11</v>
          </cell>
          <cell r="G325" t="str">
            <v>Sub Assistant</v>
          </cell>
          <cell r="H325"/>
          <cell r="J325"/>
        </row>
        <row r="326">
          <cell r="A326" t="str">
            <v>SUB-047</v>
          </cell>
          <cell r="B326" t="str">
            <v>Sub Assistant</v>
          </cell>
          <cell r="C326" t="str">
            <v>DEC Dadu _ REC Hyderabad</v>
          </cell>
          <cell r="D326" t="e">
            <v>#REF!</v>
          </cell>
          <cell r="E326" t="str">
            <v>Muhammad Ibrahim Lanjar</v>
          </cell>
          <cell r="F326">
            <v>11</v>
          </cell>
          <cell r="G326" t="str">
            <v>Sub Assistant</v>
          </cell>
          <cell r="H326">
            <v>3</v>
          </cell>
          <cell r="I326">
            <v>0.6</v>
          </cell>
          <cell r="J326" t="str">
            <v>C Grade</v>
          </cell>
        </row>
        <row r="327">
          <cell r="A327" t="str">
            <v>SCD-022</v>
          </cell>
          <cell r="B327" t="str">
            <v>Staff Car Driver</v>
          </cell>
          <cell r="C327" t="str">
            <v>DEC Dadu _ REC Hyderabad</v>
          </cell>
          <cell r="D327" t="e">
            <v>#REF!</v>
          </cell>
          <cell r="E327" t="str">
            <v>Muzaffar Ali  Solangi</v>
          </cell>
          <cell r="F327">
            <v>7</v>
          </cell>
          <cell r="G327" t="str">
            <v>Staff Car Driver</v>
          </cell>
          <cell r="H327"/>
          <cell r="J327"/>
        </row>
        <row r="328">
          <cell r="A328" t="str">
            <v>NQ-062</v>
          </cell>
          <cell r="B328" t="str">
            <v>Naib Quasid</v>
          </cell>
          <cell r="C328" t="str">
            <v>DEC Dadu _ REC Hyderabad</v>
          </cell>
          <cell r="D328" t="e">
            <v>#REF!</v>
          </cell>
          <cell r="E328" t="str">
            <v xml:space="preserve">Shah Nawaz Abro </v>
          </cell>
          <cell r="F328">
            <v>5</v>
          </cell>
          <cell r="G328" t="str">
            <v>Naib Quasid</v>
          </cell>
          <cell r="H328"/>
          <cell r="J328"/>
        </row>
        <row r="329">
          <cell r="A329" t="str">
            <v>CH-038</v>
          </cell>
          <cell r="B329" t="str">
            <v>Chowkidar</v>
          </cell>
          <cell r="C329" t="str">
            <v>DEC Dadu _ REC Hyderabad</v>
          </cell>
          <cell r="D329" t="e">
            <v>#REF!</v>
          </cell>
          <cell r="E329" t="str">
            <v>Muhammad Ibrahim</v>
          </cell>
          <cell r="F329">
            <v>4</v>
          </cell>
          <cell r="G329" t="str">
            <v>Chowkidar</v>
          </cell>
          <cell r="H329"/>
          <cell r="J329"/>
        </row>
        <row r="330">
          <cell r="A330" t="str">
            <v>CH-039</v>
          </cell>
          <cell r="B330" t="str">
            <v>Chowkidar</v>
          </cell>
          <cell r="C330" t="str">
            <v>DEC Dadu _ REC Hyderabad</v>
          </cell>
          <cell r="D330" t="e">
            <v>#REF!</v>
          </cell>
          <cell r="E330" t="str">
            <v>Imran Ali  Solangi</v>
          </cell>
          <cell r="F330">
            <v>4</v>
          </cell>
          <cell r="G330" t="str">
            <v>Chowkidar</v>
          </cell>
          <cell r="H330">
            <v>3</v>
          </cell>
          <cell r="I330">
            <v>0.8</v>
          </cell>
          <cell r="J330" t="str">
            <v>A Grade</v>
          </cell>
        </row>
        <row r="331">
          <cell r="A331" t="str">
            <v>NQ-063</v>
          </cell>
          <cell r="B331" t="str">
            <v>Naib Quasid</v>
          </cell>
          <cell r="C331" t="str">
            <v>DEC Dadu _ REC Hyderabad</v>
          </cell>
          <cell r="D331" t="e">
            <v>#REF!</v>
          </cell>
          <cell r="E331" t="str">
            <v>Faheem Ali</v>
          </cell>
          <cell r="F331">
            <v>4</v>
          </cell>
          <cell r="G331" t="str">
            <v>Naib Quasid</v>
          </cell>
          <cell r="H331">
            <v>3</v>
          </cell>
          <cell r="I331">
            <v>0.6</v>
          </cell>
          <cell r="J331" t="str">
            <v>C Grade</v>
          </cell>
        </row>
        <row r="332">
          <cell r="A332" t="str">
            <v>SA-035</v>
          </cell>
          <cell r="B332" t="str">
            <v>Senior Assistant</v>
          </cell>
          <cell r="C332" t="str">
            <v>DEC Jamshoro _ REC Hyderabad</v>
          </cell>
          <cell r="D332" t="e">
            <v>#REF!</v>
          </cell>
          <cell r="E332" t="str">
            <v>Mrs.Bushra Ghori</v>
          </cell>
          <cell r="F332">
            <v>16</v>
          </cell>
          <cell r="G332" t="str">
            <v>Senior Assistant</v>
          </cell>
          <cell r="H332"/>
          <cell r="J332"/>
        </row>
        <row r="333">
          <cell r="A333" t="str">
            <v>DEO-051</v>
          </cell>
          <cell r="B333" t="str">
            <v xml:space="preserve">Data Entry Operator </v>
          </cell>
          <cell r="C333" t="str">
            <v>DEC Jamshoro _ REC Hyderabad</v>
          </cell>
          <cell r="D333" t="e">
            <v>#REF!</v>
          </cell>
          <cell r="E333" t="str">
            <v>Barkat Ali Hisbani</v>
          </cell>
          <cell r="F333">
            <v>15</v>
          </cell>
          <cell r="G333" t="str">
            <v xml:space="preserve">Data Entry Operator </v>
          </cell>
          <cell r="H333"/>
          <cell r="J333"/>
        </row>
        <row r="334">
          <cell r="A334" t="str">
            <v>DEO-052</v>
          </cell>
          <cell r="B334" t="str">
            <v xml:space="preserve">Data Entry Operator </v>
          </cell>
          <cell r="C334" t="str">
            <v>DEC Jamshoro _ REC Hyderabad</v>
          </cell>
          <cell r="D334" t="e">
            <v>#REF!</v>
          </cell>
          <cell r="E334" t="str">
            <v>Faizan Ahmed Baig</v>
          </cell>
          <cell r="F334">
            <v>15</v>
          </cell>
          <cell r="G334" t="str">
            <v xml:space="preserve">Data Entry Operator </v>
          </cell>
          <cell r="H334"/>
          <cell r="J334"/>
        </row>
        <row r="335">
          <cell r="A335" t="str">
            <v>JA-038</v>
          </cell>
          <cell r="B335" t="str">
            <v>Junior Assistant</v>
          </cell>
          <cell r="C335" t="str">
            <v>DEC Jamshoro _ REC Hyderabad</v>
          </cell>
          <cell r="D335" t="e">
            <v>#REF!</v>
          </cell>
          <cell r="E335" t="str">
            <v>Sahib Zadi</v>
          </cell>
          <cell r="F335">
            <v>13</v>
          </cell>
          <cell r="G335" t="str">
            <v>Junior Assistant</v>
          </cell>
          <cell r="H335"/>
          <cell r="J335"/>
        </row>
        <row r="336">
          <cell r="A336" t="str">
            <v>SUB-048</v>
          </cell>
          <cell r="B336" t="str">
            <v>Sub Assistant</v>
          </cell>
          <cell r="C336" t="str">
            <v>DEC Jamshoro _ REC Hyderabad</v>
          </cell>
          <cell r="D336" t="e">
            <v>#REF!</v>
          </cell>
          <cell r="E336" t="str">
            <v>Jawaid Wagan</v>
          </cell>
          <cell r="F336">
            <v>11</v>
          </cell>
          <cell r="G336" t="str">
            <v>Sub Assistant</v>
          </cell>
          <cell r="H336"/>
          <cell r="J336"/>
        </row>
        <row r="337">
          <cell r="A337" t="str">
            <v>SUB-049</v>
          </cell>
          <cell r="B337" t="str">
            <v>Sub Assistant</v>
          </cell>
          <cell r="C337" t="str">
            <v>DEC Jamshoro _ REC Hyderabad</v>
          </cell>
          <cell r="D337" t="e">
            <v>#REF!</v>
          </cell>
          <cell r="E337" t="str">
            <v>Shireen Aqsa</v>
          </cell>
          <cell r="F337">
            <v>11</v>
          </cell>
          <cell r="G337" t="str">
            <v>Sub Assistant</v>
          </cell>
          <cell r="H337"/>
          <cell r="J337"/>
        </row>
        <row r="338">
          <cell r="A338" t="str">
            <v>SCD-023</v>
          </cell>
          <cell r="B338" t="str">
            <v>Staff Car Driver</v>
          </cell>
          <cell r="C338" t="str">
            <v>DEC Jamshoro _ REC Hyderabad</v>
          </cell>
          <cell r="D338" t="e">
            <v>#REF!</v>
          </cell>
          <cell r="E338" t="str">
            <v>Qadir Bux</v>
          </cell>
          <cell r="F338">
            <v>7</v>
          </cell>
          <cell r="G338" t="str">
            <v>Staff Car Driver</v>
          </cell>
          <cell r="H338">
            <v>3</v>
          </cell>
          <cell r="I338">
            <v>0.8</v>
          </cell>
          <cell r="J338" t="str">
            <v>A Grade</v>
          </cell>
        </row>
        <row r="339">
          <cell r="A339" t="str">
            <v>CH-041</v>
          </cell>
          <cell r="B339" t="str">
            <v>Chowkidar</v>
          </cell>
          <cell r="C339" t="str">
            <v>DEC Jamshoro _ REC Hyderabad</v>
          </cell>
          <cell r="D339" t="e">
            <v>#REF!</v>
          </cell>
          <cell r="E339" t="str">
            <v>Gul Muhammad Shaikh</v>
          </cell>
          <cell r="F339">
            <v>5</v>
          </cell>
          <cell r="G339" t="str">
            <v>Chowkidar</v>
          </cell>
          <cell r="H339"/>
          <cell r="J339"/>
        </row>
        <row r="340">
          <cell r="A340" t="str">
            <v>NQ-064</v>
          </cell>
          <cell r="B340" t="str">
            <v>Naib Quasid</v>
          </cell>
          <cell r="C340" t="str">
            <v>DEC Jamshoro _ REC Hyderabad</v>
          </cell>
          <cell r="D340" t="e">
            <v>#REF!</v>
          </cell>
          <cell r="E340" t="str">
            <v>Abdul Hadi</v>
          </cell>
          <cell r="F340">
            <v>5</v>
          </cell>
          <cell r="G340" t="str">
            <v>Naib Quasid</v>
          </cell>
          <cell r="H340"/>
          <cell r="J340"/>
        </row>
        <row r="341">
          <cell r="A341" t="str">
            <v>CH-040</v>
          </cell>
          <cell r="B341" t="str">
            <v>Chowkidar</v>
          </cell>
          <cell r="C341" t="str">
            <v>DEC Jamshoro _ REC Hyderabad</v>
          </cell>
          <cell r="D341" t="e">
            <v>#REF!</v>
          </cell>
          <cell r="E341" t="str">
            <v>Ishtiaque Ahmed</v>
          </cell>
          <cell r="F341">
            <v>4</v>
          </cell>
          <cell r="G341" t="str">
            <v>Chowkidar</v>
          </cell>
          <cell r="H341"/>
          <cell r="J341"/>
        </row>
        <row r="342">
          <cell r="A342" t="str">
            <v>NQ-065</v>
          </cell>
          <cell r="B342" t="str">
            <v>Naib Quasid</v>
          </cell>
          <cell r="C342" t="str">
            <v>DEC Jamshoro _ REC Hyderabad</v>
          </cell>
          <cell r="D342" t="e">
            <v>#REF!</v>
          </cell>
          <cell r="E342" t="str">
            <v>Prem Chand</v>
          </cell>
          <cell r="F342">
            <v>4</v>
          </cell>
          <cell r="G342" t="str">
            <v>Naib Quasid</v>
          </cell>
          <cell r="H342">
            <v>3</v>
          </cell>
          <cell r="I342">
            <v>0.7</v>
          </cell>
          <cell r="J342" t="str">
            <v>B Grade</v>
          </cell>
        </row>
        <row r="343">
          <cell r="A343" t="str">
            <v>SA-036</v>
          </cell>
          <cell r="B343" t="str">
            <v>Senior Assistant</v>
          </cell>
          <cell r="C343" t="str">
            <v>DEC Matiari _ REC Hyderabad</v>
          </cell>
          <cell r="D343" t="e">
            <v>#REF!</v>
          </cell>
          <cell r="E343" t="str">
            <v>Mrs. Saima</v>
          </cell>
          <cell r="F343">
            <v>16</v>
          </cell>
          <cell r="G343" t="str">
            <v>Senior Assistant</v>
          </cell>
          <cell r="H343"/>
          <cell r="J343"/>
        </row>
        <row r="344">
          <cell r="A344" t="str">
            <v>DEO-053</v>
          </cell>
          <cell r="B344" t="str">
            <v xml:space="preserve">Data Entry Operator </v>
          </cell>
          <cell r="C344" t="str">
            <v>DEC Matiari _ REC Hyderabad</v>
          </cell>
          <cell r="D344" t="e">
            <v>#REF!</v>
          </cell>
          <cell r="E344" t="str">
            <v>Naseem Ahmed</v>
          </cell>
          <cell r="F344">
            <v>15</v>
          </cell>
          <cell r="G344" t="str">
            <v xml:space="preserve">Data Entry Operator </v>
          </cell>
          <cell r="H344">
            <v>3</v>
          </cell>
          <cell r="I344">
            <v>0.7</v>
          </cell>
          <cell r="J344" t="str">
            <v>B Grade</v>
          </cell>
        </row>
        <row r="345">
          <cell r="A345" t="str">
            <v>DEO-054</v>
          </cell>
          <cell r="B345" t="str">
            <v xml:space="preserve">Data Entry Operator </v>
          </cell>
          <cell r="C345" t="str">
            <v>DEC Matiari _ REC Hyderabad</v>
          </cell>
          <cell r="D345" t="e">
            <v>#REF!</v>
          </cell>
          <cell r="E345" t="str">
            <v>Asad Punhal</v>
          </cell>
          <cell r="F345">
            <v>15</v>
          </cell>
          <cell r="G345" t="str">
            <v xml:space="preserve">Data Entry Operator </v>
          </cell>
          <cell r="H345"/>
          <cell r="J345"/>
        </row>
        <row r="346">
          <cell r="A346" t="str">
            <v>JA-039</v>
          </cell>
          <cell r="B346" t="str">
            <v>Junior Assistant</v>
          </cell>
          <cell r="C346" t="str">
            <v>DEC Matiari _ REC Hyderabad</v>
          </cell>
          <cell r="D346" t="e">
            <v>#REF!</v>
          </cell>
          <cell r="E346" t="str">
            <v>Munawar Ali Shaikh</v>
          </cell>
          <cell r="F346">
            <v>13</v>
          </cell>
          <cell r="G346" t="str">
            <v>Junior Assistant</v>
          </cell>
          <cell r="H346"/>
          <cell r="J346"/>
        </row>
        <row r="347">
          <cell r="A347" t="str">
            <v>SUB-050</v>
          </cell>
          <cell r="B347" t="str">
            <v>Sub Assistant</v>
          </cell>
          <cell r="C347" t="str">
            <v>DEC Matiari _ REC Hyderabad</v>
          </cell>
          <cell r="D347" t="e">
            <v>#REF!</v>
          </cell>
          <cell r="E347" t="str">
            <v>Mirza M. Kazim Mughal</v>
          </cell>
          <cell r="F347">
            <v>11</v>
          </cell>
          <cell r="G347" t="str">
            <v>Sub Assistant</v>
          </cell>
          <cell r="H347"/>
          <cell r="J347"/>
        </row>
        <row r="348">
          <cell r="A348" t="str">
            <v>SUB-051</v>
          </cell>
          <cell r="B348" t="str">
            <v>Sub Assistant</v>
          </cell>
          <cell r="C348" t="str">
            <v>DEC Matiari _ REC Hyderabad</v>
          </cell>
          <cell r="D348" t="e">
            <v>#REF!</v>
          </cell>
          <cell r="E348" t="str">
            <v>Allah Rakhio Danish</v>
          </cell>
          <cell r="F348">
            <v>11</v>
          </cell>
          <cell r="G348" t="str">
            <v>Sub Assistant</v>
          </cell>
          <cell r="H348"/>
          <cell r="J348"/>
        </row>
        <row r="349">
          <cell r="A349" t="str">
            <v>SCD-024</v>
          </cell>
          <cell r="B349" t="str">
            <v>Staff Car Driver</v>
          </cell>
          <cell r="C349" t="str">
            <v>DEC Matiari _ REC Hyderabad</v>
          </cell>
          <cell r="D349" t="e">
            <v>#REF!</v>
          </cell>
          <cell r="E349" t="str">
            <v>Javed Ali</v>
          </cell>
          <cell r="F349">
            <v>7</v>
          </cell>
          <cell r="G349" t="str">
            <v>Staff Car Driver</v>
          </cell>
          <cell r="H349"/>
          <cell r="J349"/>
        </row>
        <row r="350">
          <cell r="A350" t="str">
            <v>CH-042</v>
          </cell>
          <cell r="B350" t="str">
            <v>Chowkidar</v>
          </cell>
          <cell r="C350" t="str">
            <v>DEC Matiari _ REC Hyderabad</v>
          </cell>
          <cell r="D350" t="e">
            <v>#REF!</v>
          </cell>
          <cell r="E350" t="str">
            <v>Manzoor</v>
          </cell>
          <cell r="F350">
            <v>4</v>
          </cell>
          <cell r="G350" t="str">
            <v>Chowkidar</v>
          </cell>
          <cell r="H350">
            <v>3</v>
          </cell>
          <cell r="I350">
            <v>0.8</v>
          </cell>
          <cell r="J350" t="str">
            <v>A Grade</v>
          </cell>
        </row>
        <row r="351">
          <cell r="A351" t="str">
            <v>CH-043</v>
          </cell>
          <cell r="B351" t="str">
            <v>Chowkidar</v>
          </cell>
          <cell r="C351" t="str">
            <v>DEC Matiari _ REC Hyderabad</v>
          </cell>
          <cell r="D351" t="e">
            <v>#REF!</v>
          </cell>
          <cell r="E351" t="str">
            <v>Arbab S/o Shafi Muhammad</v>
          </cell>
          <cell r="F351">
            <v>4</v>
          </cell>
          <cell r="G351" t="str">
            <v>Chowkidar</v>
          </cell>
          <cell r="H351"/>
          <cell r="J351"/>
        </row>
        <row r="352">
          <cell r="A352" t="str">
            <v>NQ-066</v>
          </cell>
          <cell r="B352" t="str">
            <v>Naib Quasid</v>
          </cell>
          <cell r="C352" t="str">
            <v>DEC Matiari _ REC Hyderabad</v>
          </cell>
          <cell r="D352" t="e">
            <v>#REF!</v>
          </cell>
          <cell r="E352" t="str">
            <v>Fahad Khan</v>
          </cell>
          <cell r="F352">
            <v>4</v>
          </cell>
          <cell r="G352" t="str">
            <v>Naib Quasid</v>
          </cell>
          <cell r="H352"/>
          <cell r="J352"/>
        </row>
        <row r="353">
          <cell r="A353" t="str">
            <v>NQ-067</v>
          </cell>
          <cell r="B353" t="str">
            <v>Naib Quasid</v>
          </cell>
          <cell r="C353" t="str">
            <v>DEC Matiari _ REC Hyderabad</v>
          </cell>
          <cell r="D353" t="e">
            <v>#REF!</v>
          </cell>
          <cell r="E353" t="str">
            <v>Vacant</v>
          </cell>
          <cell r="F353">
            <v>2</v>
          </cell>
          <cell r="G353" t="str">
            <v>Naib Quasid</v>
          </cell>
          <cell r="H353"/>
          <cell r="J353"/>
        </row>
        <row r="354">
          <cell r="A354" t="str">
            <v>DEO-055</v>
          </cell>
          <cell r="B354" t="str">
            <v xml:space="preserve">Data Entry Operator </v>
          </cell>
          <cell r="C354" t="str">
            <v>DEC Tando Allahyar _ REC Hyderabad</v>
          </cell>
          <cell r="D354" t="e">
            <v>#REF!</v>
          </cell>
          <cell r="E354" t="str">
            <v>Noman Karim</v>
          </cell>
          <cell r="F354">
            <v>15</v>
          </cell>
          <cell r="G354" t="str">
            <v xml:space="preserve">Data Entry Operator </v>
          </cell>
          <cell r="H354"/>
          <cell r="J354"/>
        </row>
        <row r="355">
          <cell r="A355" t="str">
            <v>DEO-056</v>
          </cell>
          <cell r="B355" t="str">
            <v xml:space="preserve">Data Entry Operator </v>
          </cell>
          <cell r="C355" t="str">
            <v>DEC Tando Allahyar _ REC Hyderabad</v>
          </cell>
          <cell r="D355" t="e">
            <v>#REF!</v>
          </cell>
          <cell r="E355" t="str">
            <v>Atif Usman</v>
          </cell>
          <cell r="F355">
            <v>15</v>
          </cell>
          <cell r="G355" t="str">
            <v xml:space="preserve">Data Entry Operator </v>
          </cell>
          <cell r="H355">
            <v>3</v>
          </cell>
          <cell r="I355">
            <v>0.9</v>
          </cell>
          <cell r="J355" t="str">
            <v>A Grade</v>
          </cell>
        </row>
        <row r="356">
          <cell r="A356" t="str">
            <v>SA-037</v>
          </cell>
          <cell r="B356" t="str">
            <v>Senior Assistant</v>
          </cell>
          <cell r="C356" t="str">
            <v>DEC Tando Allahyar _ REC Hyderabad</v>
          </cell>
          <cell r="D356" t="e">
            <v>#REF!</v>
          </cell>
          <cell r="E356" t="str">
            <v>Salahuddin Memon</v>
          </cell>
          <cell r="F356">
            <v>16</v>
          </cell>
          <cell r="G356" t="str">
            <v>Senior Assistant</v>
          </cell>
          <cell r="H356">
            <v>3</v>
          </cell>
          <cell r="I356">
            <v>0.6</v>
          </cell>
          <cell r="J356" t="str">
            <v>C Grade</v>
          </cell>
        </row>
        <row r="357">
          <cell r="A357" t="str">
            <v>JA-040</v>
          </cell>
          <cell r="B357" t="str">
            <v>Junior Assistant</v>
          </cell>
          <cell r="C357" t="str">
            <v>DEC Tando Allahyar _ REC Hyderabad</v>
          </cell>
          <cell r="D357" t="e">
            <v>#REF!</v>
          </cell>
          <cell r="E357" t="str">
            <v xml:space="preserve">Rana Muhammad Arif </v>
          </cell>
          <cell r="F357">
            <v>13</v>
          </cell>
          <cell r="G357" t="str">
            <v>Junior Assistant</v>
          </cell>
          <cell r="H357"/>
          <cell r="J357"/>
        </row>
        <row r="358">
          <cell r="A358" t="str">
            <v>SUB-052</v>
          </cell>
          <cell r="B358" t="str">
            <v>Sub Assistant</v>
          </cell>
          <cell r="C358" t="str">
            <v>DEC Tando Allahyar _ REC Hyderabad</v>
          </cell>
          <cell r="D358" t="e">
            <v>#REF!</v>
          </cell>
          <cell r="E358" t="str">
            <v>Muhammad Abid Zahid</v>
          </cell>
          <cell r="F358">
            <v>11</v>
          </cell>
          <cell r="G358" t="str">
            <v>Sub Assistant</v>
          </cell>
          <cell r="H358">
            <v>3</v>
          </cell>
          <cell r="I358">
            <v>0.9</v>
          </cell>
          <cell r="J358" t="str">
            <v>A Grade</v>
          </cell>
        </row>
        <row r="359">
          <cell r="A359" t="str">
            <v>SUB-053</v>
          </cell>
          <cell r="B359" t="str">
            <v>Sub Assistant</v>
          </cell>
          <cell r="C359" t="str">
            <v>DEC Tando Allahyar _ REC Hyderabad</v>
          </cell>
          <cell r="D359" t="e">
            <v>#REF!</v>
          </cell>
          <cell r="E359" t="str">
            <v>Adnan Lund Baloch</v>
          </cell>
          <cell r="F359">
            <v>11</v>
          </cell>
          <cell r="G359" t="str">
            <v>Sub Assistant</v>
          </cell>
          <cell r="H359"/>
          <cell r="J359"/>
        </row>
        <row r="360">
          <cell r="A360" t="str">
            <v>SCD-025</v>
          </cell>
          <cell r="B360" t="str">
            <v>Staff Car Driver</v>
          </cell>
          <cell r="C360" t="str">
            <v>DEC Tando Allahyar _ REC Hyderabad</v>
          </cell>
          <cell r="D360" t="e">
            <v>#REF!</v>
          </cell>
          <cell r="E360" t="str">
            <v>Jameel Ahmed</v>
          </cell>
          <cell r="F360">
            <v>7</v>
          </cell>
          <cell r="G360" t="str">
            <v>Staff Car Driver</v>
          </cell>
          <cell r="H360">
            <v>3</v>
          </cell>
          <cell r="I360">
            <v>0.8</v>
          </cell>
          <cell r="J360" t="str">
            <v>A Grade</v>
          </cell>
        </row>
        <row r="361">
          <cell r="A361" t="str">
            <v>CH-075</v>
          </cell>
          <cell r="B361" t="str">
            <v>Chowkidar</v>
          </cell>
          <cell r="C361" t="str">
            <v>DEC Jamshoro _ REC Hyderabad</v>
          </cell>
          <cell r="D361" t="e">
            <v>#REF!</v>
          </cell>
          <cell r="E361" t="str">
            <v>Muhammad Yousuf (Extra staff)</v>
          </cell>
          <cell r="F361">
            <v>5</v>
          </cell>
          <cell r="G361" t="str">
            <v>Chowkidar</v>
          </cell>
          <cell r="H361">
            <v>3</v>
          </cell>
          <cell r="I361">
            <v>0.7</v>
          </cell>
          <cell r="J361" t="str">
            <v>B Grade</v>
          </cell>
        </row>
        <row r="362">
          <cell r="A362" t="str">
            <v>NQ-068</v>
          </cell>
          <cell r="B362" t="str">
            <v>Naib Quasid</v>
          </cell>
          <cell r="C362" t="str">
            <v>DEC Tando Allahyar _ REC Hyderabad</v>
          </cell>
          <cell r="D362" t="e">
            <v>#REF!</v>
          </cell>
          <cell r="E362" t="str">
            <v>Muhammad Aslam</v>
          </cell>
          <cell r="F362">
            <v>5</v>
          </cell>
          <cell r="G362" t="str">
            <v>Naib Quasid</v>
          </cell>
          <cell r="H362"/>
          <cell r="J362"/>
        </row>
        <row r="363">
          <cell r="A363" t="str">
            <v>CH-044</v>
          </cell>
          <cell r="B363" t="str">
            <v>Chowkidar</v>
          </cell>
          <cell r="C363" t="str">
            <v>DEC Tando Allahyar _ REC Hyderabad</v>
          </cell>
          <cell r="D363" t="e">
            <v>#REF!</v>
          </cell>
          <cell r="E363" t="str">
            <v>Arbab S/o M. Ali</v>
          </cell>
          <cell r="F363">
            <v>4</v>
          </cell>
          <cell r="G363" t="str">
            <v>Chowkidar</v>
          </cell>
          <cell r="H363">
            <v>3</v>
          </cell>
          <cell r="I363">
            <v>0.8</v>
          </cell>
          <cell r="J363" t="str">
            <v>A Grade</v>
          </cell>
        </row>
        <row r="364">
          <cell r="A364" t="str">
            <v>CH-045</v>
          </cell>
          <cell r="B364" t="str">
            <v>Chowkidar</v>
          </cell>
          <cell r="C364" t="str">
            <v>DEC Tando Allahyar _ REC Hyderabad</v>
          </cell>
          <cell r="D364" t="e">
            <v>#REF!</v>
          </cell>
          <cell r="E364" t="str">
            <v>Mumtaz Ali Lund</v>
          </cell>
          <cell r="F364">
            <v>4</v>
          </cell>
          <cell r="G364" t="str">
            <v>Chowkidar</v>
          </cell>
          <cell r="H364"/>
          <cell r="J364"/>
        </row>
        <row r="365">
          <cell r="A365" t="str">
            <v>NQ-069</v>
          </cell>
          <cell r="B365" t="str">
            <v>Naib Quasid</v>
          </cell>
          <cell r="C365" t="str">
            <v>DEC Tando Allahyar _ REC Hyderabad</v>
          </cell>
          <cell r="D365" t="e">
            <v>#REF!</v>
          </cell>
          <cell r="E365" t="str">
            <v>Faheem Abbas</v>
          </cell>
          <cell r="F365">
            <v>4</v>
          </cell>
          <cell r="G365" t="str">
            <v>Naib Quasid</v>
          </cell>
          <cell r="H365">
            <v>3</v>
          </cell>
          <cell r="I365">
            <v>0.5</v>
          </cell>
          <cell r="J365" t="str">
            <v>D Grade</v>
          </cell>
        </row>
        <row r="366">
          <cell r="A366" t="str">
            <v>SA-038</v>
          </cell>
          <cell r="B366" t="str">
            <v>Senior Assistant</v>
          </cell>
          <cell r="C366" t="str">
            <v>DEC Tando Muhammad Khan _ REC Hyderabad</v>
          </cell>
          <cell r="D366" t="e">
            <v>#REF!</v>
          </cell>
          <cell r="E366" t="str">
            <v>Mirza Naveed Ahmed Mughal</v>
          </cell>
          <cell r="F366">
            <v>16</v>
          </cell>
          <cell r="G366" t="str">
            <v>Senior Assistant</v>
          </cell>
          <cell r="H366"/>
          <cell r="J366"/>
        </row>
        <row r="367">
          <cell r="A367" t="str">
            <v>DEO-057</v>
          </cell>
          <cell r="B367" t="str">
            <v xml:space="preserve">Data Entry Operator </v>
          </cell>
          <cell r="C367" t="str">
            <v>DEC Tando Muhammad Khan _ REC Hyderabad</v>
          </cell>
          <cell r="D367" t="e">
            <v>#REF!</v>
          </cell>
          <cell r="E367" t="str">
            <v>Ghulam Ali Shah</v>
          </cell>
          <cell r="F367">
            <v>15</v>
          </cell>
          <cell r="G367" t="str">
            <v xml:space="preserve">Data Entry Operator </v>
          </cell>
          <cell r="H367">
            <v>3</v>
          </cell>
          <cell r="I367">
            <v>0.8</v>
          </cell>
          <cell r="J367" t="str">
            <v>A Grade</v>
          </cell>
        </row>
        <row r="368">
          <cell r="A368" t="str">
            <v>DEO-058</v>
          </cell>
          <cell r="B368" t="str">
            <v xml:space="preserve">Data Entry Operator </v>
          </cell>
          <cell r="C368" t="str">
            <v>DEC Tando Muhammad Khan _ REC Hyderabad</v>
          </cell>
          <cell r="D368" t="e">
            <v>#REF!</v>
          </cell>
          <cell r="E368" t="str">
            <v>Sifat Ali Sathio</v>
          </cell>
          <cell r="F368">
            <v>15</v>
          </cell>
          <cell r="G368" t="str">
            <v xml:space="preserve">Data Entry Operator </v>
          </cell>
          <cell r="H368"/>
          <cell r="J368"/>
        </row>
        <row r="369">
          <cell r="A369" t="str">
            <v>JA-041</v>
          </cell>
          <cell r="B369" t="str">
            <v>Junior Assistant</v>
          </cell>
          <cell r="C369" t="str">
            <v>DEC Tando Muhammad Khan _ REC Hyderabad</v>
          </cell>
          <cell r="D369" t="e">
            <v>#REF!</v>
          </cell>
          <cell r="E369" t="str">
            <v>Zubairuddin Memon</v>
          </cell>
          <cell r="F369">
            <v>13</v>
          </cell>
          <cell r="G369" t="str">
            <v>Junior Assistant</v>
          </cell>
          <cell r="H369"/>
          <cell r="J369"/>
        </row>
        <row r="370">
          <cell r="A370" t="str">
            <v>SUB-054</v>
          </cell>
          <cell r="B370" t="str">
            <v>Sub Assistant</v>
          </cell>
          <cell r="C370" t="str">
            <v>DEC Tando Muhammad Khan _ REC Hyderabad</v>
          </cell>
          <cell r="D370" t="e">
            <v>#REF!</v>
          </cell>
          <cell r="E370" t="str">
            <v>Santosh Kumar</v>
          </cell>
          <cell r="F370">
            <v>11</v>
          </cell>
          <cell r="G370" t="str">
            <v>Sub Assistant</v>
          </cell>
          <cell r="H370"/>
          <cell r="J370"/>
        </row>
        <row r="371">
          <cell r="A371" t="str">
            <v>SUB-055</v>
          </cell>
          <cell r="B371" t="str">
            <v>Sub Assistant</v>
          </cell>
          <cell r="C371" t="str">
            <v>DEC Tando Muhammad Khan _ REC Hyderabad</v>
          </cell>
          <cell r="D371" t="e">
            <v>#REF!</v>
          </cell>
          <cell r="E371" t="str">
            <v>Zuhaib Ali</v>
          </cell>
          <cell r="F371">
            <v>11</v>
          </cell>
          <cell r="G371" t="str">
            <v>Sub Assistant</v>
          </cell>
          <cell r="H371"/>
          <cell r="J371"/>
        </row>
        <row r="372">
          <cell r="A372" t="str">
            <v>SCD-026</v>
          </cell>
          <cell r="B372" t="str">
            <v>Staff Car Driver</v>
          </cell>
          <cell r="C372" t="str">
            <v>DEC Tando Muhammad Khan _ REC Hyderabad</v>
          </cell>
          <cell r="D372" t="e">
            <v>#REF!</v>
          </cell>
          <cell r="E372" t="str">
            <v>Altaf Ahmed Talpur</v>
          </cell>
          <cell r="F372">
            <v>7</v>
          </cell>
          <cell r="G372" t="str">
            <v>Staff Car Driver</v>
          </cell>
          <cell r="H372"/>
          <cell r="J372"/>
        </row>
        <row r="373">
          <cell r="A373" t="str">
            <v>NQ-070</v>
          </cell>
          <cell r="B373" t="str">
            <v>Naib Quasid</v>
          </cell>
          <cell r="C373" t="str">
            <v>DEC Tando Muhammad Khan _ REC Hyderabad</v>
          </cell>
          <cell r="D373" t="e">
            <v>#REF!</v>
          </cell>
          <cell r="E373" t="str">
            <v>Jamal Halepoto</v>
          </cell>
          <cell r="F373">
            <v>5</v>
          </cell>
          <cell r="G373" t="str">
            <v>Naib Quasid</v>
          </cell>
          <cell r="H373">
            <v>3</v>
          </cell>
          <cell r="I373">
            <v>0.5</v>
          </cell>
          <cell r="J373" t="str">
            <v>D Grade</v>
          </cell>
        </row>
        <row r="374">
          <cell r="A374" t="str">
            <v>NQ-071</v>
          </cell>
          <cell r="B374" t="str">
            <v>Naib Quasid</v>
          </cell>
          <cell r="C374" t="str">
            <v>DEC Tando Muhammad Khan _ REC Hyderabad</v>
          </cell>
          <cell r="D374" t="e">
            <v>#REF!</v>
          </cell>
          <cell r="E374" t="str">
            <v>Muhammad Suleman</v>
          </cell>
          <cell r="F374">
            <v>5</v>
          </cell>
          <cell r="G374" t="str">
            <v>Naib Quasid</v>
          </cell>
          <cell r="H374"/>
          <cell r="J374"/>
        </row>
        <row r="375">
          <cell r="A375" t="str">
            <v>CH-046</v>
          </cell>
          <cell r="B375" t="str">
            <v>Chowkidar</v>
          </cell>
          <cell r="C375" t="str">
            <v>DEC Tando Muhammad Khan _ REC Hyderabad</v>
          </cell>
          <cell r="D375" t="e">
            <v>#REF!</v>
          </cell>
          <cell r="E375" t="str">
            <v>Gulzar Ali Phull</v>
          </cell>
          <cell r="F375">
            <v>4</v>
          </cell>
          <cell r="G375" t="str">
            <v>Chowkidar</v>
          </cell>
          <cell r="H375"/>
          <cell r="J375"/>
        </row>
        <row r="376">
          <cell r="A376" t="str">
            <v>CH-047</v>
          </cell>
          <cell r="B376" t="str">
            <v>Chowkidar</v>
          </cell>
          <cell r="C376" t="str">
            <v>DEC Tando Muhammad Khan _ REC Hyderabad</v>
          </cell>
          <cell r="D376" t="e">
            <v>#REF!</v>
          </cell>
          <cell r="E376" t="str">
            <v>Habibullah</v>
          </cell>
          <cell r="F376">
            <v>4</v>
          </cell>
          <cell r="G376" t="str">
            <v>Chowkidar</v>
          </cell>
          <cell r="H376">
            <v>3</v>
          </cell>
          <cell r="I376">
            <v>0.7</v>
          </cell>
          <cell r="J376" t="str">
            <v>B Grade</v>
          </cell>
        </row>
        <row r="377">
          <cell r="A377" t="str">
            <v>DAD-005</v>
          </cell>
          <cell r="B377" t="str">
            <v>Deputy Assistant Director</v>
          </cell>
          <cell r="C377" t="str">
            <v>REC Thatta _ REC Thatta</v>
          </cell>
          <cell r="D377" t="e">
            <v>#REF!</v>
          </cell>
          <cell r="E377" t="str">
            <v>Syed Hassan Ali</v>
          </cell>
          <cell r="F377">
            <v>16</v>
          </cell>
          <cell r="G377" t="str">
            <v>Deputy Assistant Director</v>
          </cell>
          <cell r="H377"/>
          <cell r="J377"/>
        </row>
        <row r="378">
          <cell r="A378" t="str">
            <v>DEO-059</v>
          </cell>
          <cell r="B378" t="str">
            <v xml:space="preserve">Data Entry Operator </v>
          </cell>
          <cell r="C378" t="str">
            <v>REC Thatta _ REC Thatta</v>
          </cell>
          <cell r="D378" t="e">
            <v>#REF!</v>
          </cell>
          <cell r="E378" t="str">
            <v>Manzoor Ali Abbasi</v>
          </cell>
          <cell r="F378">
            <v>15</v>
          </cell>
          <cell r="G378" t="str">
            <v xml:space="preserve">Data Entry Operator </v>
          </cell>
          <cell r="H378"/>
          <cell r="J378"/>
        </row>
        <row r="379">
          <cell r="A379" t="str">
            <v>SA-039</v>
          </cell>
          <cell r="B379" t="str">
            <v>Senior Assistant</v>
          </cell>
          <cell r="C379" t="str">
            <v>REC Thatta _ REC Thatta</v>
          </cell>
          <cell r="D379" t="e">
            <v>#REF!</v>
          </cell>
          <cell r="E379" t="str">
            <v>Muzammil Mirza</v>
          </cell>
          <cell r="F379">
            <v>15</v>
          </cell>
          <cell r="G379" t="str">
            <v>Senior Assistant</v>
          </cell>
          <cell r="H379"/>
          <cell r="J379"/>
        </row>
        <row r="380">
          <cell r="A380" t="str">
            <v>JA-042</v>
          </cell>
          <cell r="B380" t="str">
            <v>Junior Assistant</v>
          </cell>
          <cell r="C380" t="str">
            <v>REC Thatta _ REC Thatta</v>
          </cell>
          <cell r="D380" t="e">
            <v>#REF!</v>
          </cell>
          <cell r="E380" t="str">
            <v>Zawar Hussain Hashmani</v>
          </cell>
          <cell r="F380">
            <v>13</v>
          </cell>
          <cell r="G380" t="str">
            <v>Junior Assistant</v>
          </cell>
          <cell r="H380"/>
          <cell r="J380"/>
        </row>
        <row r="381">
          <cell r="A381" t="str">
            <v>SUB-056</v>
          </cell>
          <cell r="B381" t="str">
            <v>Sub Assistant</v>
          </cell>
          <cell r="C381" t="str">
            <v>REC Thatta _ REC Thatta</v>
          </cell>
          <cell r="D381" t="e">
            <v>#REF!</v>
          </cell>
          <cell r="E381" t="str">
            <v>Muhammad Haris Khan</v>
          </cell>
          <cell r="F381">
            <v>11</v>
          </cell>
          <cell r="G381" t="str">
            <v>Sub Assistant</v>
          </cell>
          <cell r="H381"/>
          <cell r="J381"/>
        </row>
        <row r="382">
          <cell r="A382" t="str">
            <v>SCD-027</v>
          </cell>
          <cell r="B382" t="str">
            <v>Staff Car Driver</v>
          </cell>
          <cell r="C382" t="str">
            <v>REC Thatta _ REC Thatta</v>
          </cell>
          <cell r="D382" t="e">
            <v>#REF!</v>
          </cell>
          <cell r="E382" t="str">
            <v>Ateeque Ahmed</v>
          </cell>
          <cell r="F382">
            <v>7</v>
          </cell>
          <cell r="G382" t="str">
            <v>Staff Car Driver</v>
          </cell>
          <cell r="H382"/>
          <cell r="J382"/>
        </row>
        <row r="383">
          <cell r="A383" t="str">
            <v>DR-007</v>
          </cell>
          <cell r="B383" t="str">
            <v>Dispatch Rider</v>
          </cell>
          <cell r="C383" t="str">
            <v>REC Thatta _ REC Thatta</v>
          </cell>
          <cell r="D383" t="e">
            <v>#REF!</v>
          </cell>
          <cell r="E383" t="str">
            <v>Vacant</v>
          </cell>
          <cell r="F383">
            <v>5</v>
          </cell>
          <cell r="G383" t="str">
            <v>Dispatch Rider</v>
          </cell>
          <cell r="H383"/>
          <cell r="J383"/>
        </row>
        <row r="384">
          <cell r="A384" t="str">
            <v>CH-048</v>
          </cell>
          <cell r="B384" t="str">
            <v>Chowkidar</v>
          </cell>
          <cell r="C384" t="str">
            <v>REC Thatta _ REC Thatta</v>
          </cell>
          <cell r="D384" t="e">
            <v>#REF!</v>
          </cell>
          <cell r="E384" t="str">
            <v>Khamiso Khan</v>
          </cell>
          <cell r="F384">
            <v>4</v>
          </cell>
          <cell r="G384" t="str">
            <v>Chowkidar</v>
          </cell>
          <cell r="H384"/>
          <cell r="J384"/>
        </row>
        <row r="385">
          <cell r="A385" t="str">
            <v>NQ-072</v>
          </cell>
          <cell r="B385" t="str">
            <v>Naib Quasid</v>
          </cell>
          <cell r="C385" t="str">
            <v>REC Thatta _ REC Thatta</v>
          </cell>
          <cell r="D385" t="e">
            <v>#REF!</v>
          </cell>
          <cell r="E385" t="str">
            <v>Rizwan Khan</v>
          </cell>
          <cell r="F385">
            <v>4</v>
          </cell>
          <cell r="G385" t="str">
            <v>Naib Quasid</v>
          </cell>
          <cell r="H385"/>
          <cell r="J385"/>
        </row>
        <row r="386">
          <cell r="A386" t="str">
            <v>SPA-002</v>
          </cell>
          <cell r="B386" t="str">
            <v xml:space="preserve">Senior Personal Assistant </v>
          </cell>
          <cell r="C386" t="str">
            <v>REC Thatta _ REC Thatta</v>
          </cell>
          <cell r="D386" t="e">
            <v>#REF!</v>
          </cell>
          <cell r="E386" t="str">
            <v>Muhammad Ashraf Shah</v>
          </cell>
          <cell r="F386">
            <v>16</v>
          </cell>
          <cell r="G386" t="str">
            <v xml:space="preserve">Senior Personal Assistant </v>
          </cell>
          <cell r="H386">
            <v>1</v>
          </cell>
          <cell r="I386">
            <v>0.79</v>
          </cell>
          <cell r="J386" t="str">
            <v>Issues were clear to him. Very actively participated in all group discussions and activities.</v>
          </cell>
        </row>
        <row r="387">
          <cell r="A387" t="str">
            <v>SA-040</v>
          </cell>
          <cell r="B387" t="str">
            <v>Senior Assistant</v>
          </cell>
          <cell r="C387" t="str">
            <v>REC Thatta Strong Room _ REC Thatta</v>
          </cell>
          <cell r="D387" t="e">
            <v>#REF!</v>
          </cell>
          <cell r="E387" t="str">
            <v xml:space="preserve">Irfanullah Anjum  </v>
          </cell>
          <cell r="F387">
            <v>15</v>
          </cell>
          <cell r="G387" t="str">
            <v>Senior Assistant</v>
          </cell>
          <cell r="H387"/>
          <cell r="J387"/>
        </row>
        <row r="388">
          <cell r="A388" t="str">
            <v>JA-043</v>
          </cell>
          <cell r="B388" t="str">
            <v>Junior Assistant</v>
          </cell>
          <cell r="C388" t="str">
            <v>REC Thatta Strong Room _ REC Thatta</v>
          </cell>
          <cell r="D388" t="e">
            <v>#REF!</v>
          </cell>
          <cell r="E388" t="str">
            <v>Muhammad Akbar</v>
          </cell>
          <cell r="F388">
            <v>13</v>
          </cell>
          <cell r="G388" t="str">
            <v>Junior Assistant</v>
          </cell>
          <cell r="H388"/>
          <cell r="J388"/>
        </row>
        <row r="389">
          <cell r="A389" t="str">
            <v>CH-049</v>
          </cell>
          <cell r="B389" t="str">
            <v>Chowkidar</v>
          </cell>
          <cell r="C389" t="str">
            <v>REC Thatta Strong Room _ REC Thatta</v>
          </cell>
          <cell r="D389" t="e">
            <v>#REF!</v>
          </cell>
          <cell r="E389" t="str">
            <v>Mumtaz Ali Lashari</v>
          </cell>
          <cell r="F389">
            <v>4</v>
          </cell>
          <cell r="G389" t="str">
            <v>Chowkidar</v>
          </cell>
          <cell r="H389"/>
          <cell r="J389"/>
        </row>
        <row r="390">
          <cell r="A390" t="str">
            <v>NQ-104</v>
          </cell>
          <cell r="B390" t="str">
            <v>Naib Quasid</v>
          </cell>
          <cell r="C390" t="str">
            <v>REC Thatta Strong Room _ REC Thatta</v>
          </cell>
          <cell r="D390" t="e">
            <v>#REF!</v>
          </cell>
          <cell r="E390" t="str">
            <v>Muhammad Ali</v>
          </cell>
          <cell r="F390">
            <v>4</v>
          </cell>
          <cell r="G390" t="str">
            <v>Naib Quasid</v>
          </cell>
          <cell r="H390"/>
          <cell r="J390"/>
        </row>
        <row r="391">
          <cell r="A391" t="str">
            <v>SA-041</v>
          </cell>
          <cell r="B391" t="str">
            <v>Senior Assistant</v>
          </cell>
          <cell r="C391" t="str">
            <v>DEC Thatta _ REC Thatta</v>
          </cell>
          <cell r="D391" t="e">
            <v>#REF!</v>
          </cell>
          <cell r="E391" t="str">
            <v xml:space="preserve">Nouman Ahmed </v>
          </cell>
          <cell r="F391">
            <v>16</v>
          </cell>
          <cell r="G391" t="str">
            <v>Senior Assistant</v>
          </cell>
          <cell r="H391"/>
          <cell r="J391"/>
        </row>
        <row r="392">
          <cell r="A392" t="str">
            <v>DEO-061</v>
          </cell>
          <cell r="B392" t="str">
            <v xml:space="preserve">Data Entry Operator </v>
          </cell>
          <cell r="C392" t="str">
            <v>DEC Thatta _ REC Thatta</v>
          </cell>
          <cell r="D392" t="e">
            <v>#REF!</v>
          </cell>
          <cell r="E392" t="str">
            <v>Jehanzeb Khan</v>
          </cell>
          <cell r="F392">
            <v>15</v>
          </cell>
          <cell r="G392" t="str">
            <v xml:space="preserve">Data Entry Operator </v>
          </cell>
          <cell r="H392"/>
          <cell r="J392"/>
        </row>
        <row r="393">
          <cell r="A393" t="str">
            <v>DEO-060</v>
          </cell>
          <cell r="B393" t="str">
            <v xml:space="preserve">Data Entry Operator </v>
          </cell>
          <cell r="C393" t="str">
            <v>DEC Thatta _ REC Thatta</v>
          </cell>
          <cell r="D393" t="e">
            <v>#REF!</v>
          </cell>
          <cell r="E393" t="str">
            <v>Zeeshan</v>
          </cell>
          <cell r="F393">
            <v>14</v>
          </cell>
          <cell r="G393" t="str">
            <v xml:space="preserve">Data Entry Operator </v>
          </cell>
          <cell r="H393"/>
          <cell r="J393"/>
        </row>
        <row r="394">
          <cell r="A394" t="str">
            <v>JA-044</v>
          </cell>
          <cell r="B394" t="str">
            <v>Junior Assistant</v>
          </cell>
          <cell r="C394" t="str">
            <v>DEC Thatta _ REC Thatta</v>
          </cell>
          <cell r="D394" t="e">
            <v>#REF!</v>
          </cell>
          <cell r="E394" t="str">
            <v>Bhenjo</v>
          </cell>
          <cell r="F394">
            <v>13</v>
          </cell>
          <cell r="G394" t="str">
            <v>Junior Assistant</v>
          </cell>
          <cell r="H394"/>
          <cell r="J394"/>
        </row>
        <row r="395">
          <cell r="A395" t="str">
            <v>SUB-057</v>
          </cell>
          <cell r="B395" t="str">
            <v>Sub Assistant</v>
          </cell>
          <cell r="C395" t="str">
            <v>DEC Thatta _ REC Thatta</v>
          </cell>
          <cell r="D395" t="e">
            <v>#REF!</v>
          </cell>
          <cell r="E395" t="str">
            <v xml:space="preserve">Naveed Ahmed </v>
          </cell>
          <cell r="F395">
            <v>11</v>
          </cell>
          <cell r="G395" t="str">
            <v>Sub Assistant</v>
          </cell>
          <cell r="H395"/>
          <cell r="J395"/>
        </row>
        <row r="396">
          <cell r="A396" t="str">
            <v>SUB-058</v>
          </cell>
          <cell r="B396" t="str">
            <v>Sub Assistant</v>
          </cell>
          <cell r="C396" t="str">
            <v>DEC Thatta _ REC Thatta</v>
          </cell>
          <cell r="D396" t="e">
            <v>#REF!</v>
          </cell>
          <cell r="E396" t="str">
            <v>Vacant</v>
          </cell>
          <cell r="F396">
            <v>11</v>
          </cell>
          <cell r="G396" t="str">
            <v>Sub Assistant</v>
          </cell>
          <cell r="H396"/>
          <cell r="J396"/>
        </row>
        <row r="397">
          <cell r="A397" t="str">
            <v>SCD-028</v>
          </cell>
          <cell r="B397" t="str">
            <v>Staff Car Driver</v>
          </cell>
          <cell r="C397" t="str">
            <v>DEC Thatta _ REC Thatta</v>
          </cell>
          <cell r="D397" t="e">
            <v>#REF!</v>
          </cell>
          <cell r="E397" t="str">
            <v>Munawar Narejo</v>
          </cell>
          <cell r="F397">
            <v>7</v>
          </cell>
          <cell r="G397" t="str">
            <v>Staff Car Driver</v>
          </cell>
          <cell r="H397"/>
          <cell r="J397"/>
        </row>
        <row r="398">
          <cell r="A398" t="str">
            <v>NQ-020</v>
          </cell>
          <cell r="B398" t="str">
            <v>Naib Quasid</v>
          </cell>
          <cell r="C398" t="str">
            <v>DEC Thatta _ REC Thatta</v>
          </cell>
          <cell r="D398" t="e">
            <v>#REF!</v>
          </cell>
          <cell r="E398" t="str">
            <v>Sher Aman</v>
          </cell>
          <cell r="F398">
            <v>5</v>
          </cell>
          <cell r="G398" t="str">
            <v>Naib Quasid</v>
          </cell>
          <cell r="H398"/>
          <cell r="J398"/>
        </row>
        <row r="399">
          <cell r="A399" t="str">
            <v>NQ-074</v>
          </cell>
          <cell r="B399" t="str">
            <v>Naib Quasid</v>
          </cell>
          <cell r="C399" t="str">
            <v>DEC Thatta _ REC Thatta</v>
          </cell>
          <cell r="D399" t="e">
            <v>#REF!</v>
          </cell>
          <cell r="E399" t="str">
            <v>Muhammad Uris</v>
          </cell>
          <cell r="F399">
            <v>5</v>
          </cell>
          <cell r="G399" t="str">
            <v>Naib Quasid</v>
          </cell>
          <cell r="H399"/>
          <cell r="J399"/>
        </row>
        <row r="400">
          <cell r="A400" t="str">
            <v>CH-050</v>
          </cell>
          <cell r="B400" t="str">
            <v>Chowkidar</v>
          </cell>
          <cell r="C400" t="str">
            <v>DEC Thatta _ REC Thatta</v>
          </cell>
          <cell r="D400" t="e">
            <v>#REF!</v>
          </cell>
          <cell r="E400" t="str">
            <v>Muhammad Bux</v>
          </cell>
          <cell r="F400">
            <v>4</v>
          </cell>
          <cell r="G400" t="str">
            <v>Chowkidar</v>
          </cell>
          <cell r="H400"/>
          <cell r="J400"/>
        </row>
        <row r="401">
          <cell r="A401" t="str">
            <v>SA-042</v>
          </cell>
          <cell r="B401" t="str">
            <v>Senior Assistant</v>
          </cell>
          <cell r="C401" t="str">
            <v>DEC Badin _ REC Thatta</v>
          </cell>
          <cell r="D401" t="e">
            <v>#REF!</v>
          </cell>
          <cell r="E401" t="str">
            <v>Awais Ahmed</v>
          </cell>
          <cell r="F401">
            <v>15</v>
          </cell>
          <cell r="G401" t="str">
            <v>Senior Assistant</v>
          </cell>
          <cell r="H401"/>
          <cell r="J401"/>
        </row>
        <row r="402">
          <cell r="A402" t="str">
            <v>DEO-035</v>
          </cell>
          <cell r="B402" t="str">
            <v xml:space="preserve">Data Entry Operator </v>
          </cell>
          <cell r="C402" t="str">
            <v>DEC Badin _ REC Thatta</v>
          </cell>
          <cell r="D402" t="e">
            <v>#REF!</v>
          </cell>
          <cell r="E402" t="str">
            <v>Vacant</v>
          </cell>
          <cell r="F402">
            <v>14</v>
          </cell>
          <cell r="G402" t="str">
            <v xml:space="preserve">Data Entry Operator </v>
          </cell>
          <cell r="H402"/>
          <cell r="J402"/>
        </row>
        <row r="403">
          <cell r="A403" t="str">
            <v>DEO-062</v>
          </cell>
          <cell r="B403" t="str">
            <v xml:space="preserve">Data Entry Operator </v>
          </cell>
          <cell r="C403" t="str">
            <v>DEC Badin _ REC Thatta</v>
          </cell>
          <cell r="D403" t="e">
            <v>#REF!</v>
          </cell>
          <cell r="E403" t="str">
            <v>Vacant</v>
          </cell>
          <cell r="F403">
            <v>14</v>
          </cell>
          <cell r="G403" t="str">
            <v xml:space="preserve">Data Entry Operator </v>
          </cell>
          <cell r="H403"/>
          <cell r="J403"/>
        </row>
        <row r="404">
          <cell r="A404" t="str">
            <v>DEO-063</v>
          </cell>
          <cell r="B404" t="str">
            <v xml:space="preserve">Data Entry Operator </v>
          </cell>
          <cell r="C404" t="str">
            <v>DEC Badin _ REC Thatta</v>
          </cell>
          <cell r="D404" t="e">
            <v>#REF!</v>
          </cell>
          <cell r="E404" t="str">
            <v>Muhammad Yousuf</v>
          </cell>
          <cell r="F404">
            <v>14</v>
          </cell>
          <cell r="G404" t="str">
            <v xml:space="preserve">Data Entry Operator </v>
          </cell>
          <cell r="H404"/>
          <cell r="J404"/>
        </row>
        <row r="405">
          <cell r="A405" t="str">
            <v>JA-045</v>
          </cell>
          <cell r="B405" t="str">
            <v>Junior Assistant</v>
          </cell>
          <cell r="C405" t="str">
            <v>DEC Badin _ REC Thatta</v>
          </cell>
          <cell r="D405" t="e">
            <v>#REF!</v>
          </cell>
          <cell r="E405" t="str">
            <v>Vacant</v>
          </cell>
          <cell r="F405">
            <v>13</v>
          </cell>
          <cell r="G405" t="str">
            <v>Junior Assistant</v>
          </cell>
          <cell r="H405"/>
          <cell r="J405"/>
        </row>
        <row r="406">
          <cell r="A406" t="str">
            <v>SUB-059</v>
          </cell>
          <cell r="B406" t="str">
            <v>Sub Assistant</v>
          </cell>
          <cell r="C406" t="str">
            <v>DEC Badin _ REC Thatta</v>
          </cell>
          <cell r="D406" t="e">
            <v>#REF!</v>
          </cell>
          <cell r="E406" t="str">
            <v>Rashid Ali</v>
          </cell>
          <cell r="F406">
            <v>11</v>
          </cell>
          <cell r="G406" t="str">
            <v>Sub Assistant</v>
          </cell>
          <cell r="H406"/>
          <cell r="J406"/>
        </row>
        <row r="407">
          <cell r="A407" t="str">
            <v>SUB-060</v>
          </cell>
          <cell r="B407" t="str">
            <v>Sub Assistant</v>
          </cell>
          <cell r="C407" t="str">
            <v>DEC Badin _ REC Thatta</v>
          </cell>
          <cell r="D407" t="e">
            <v>#REF!</v>
          </cell>
          <cell r="E407" t="str">
            <v>Sharjeel</v>
          </cell>
          <cell r="F407">
            <v>11</v>
          </cell>
          <cell r="G407" t="str">
            <v>Sub Assistant</v>
          </cell>
          <cell r="H407"/>
          <cell r="J407"/>
        </row>
        <row r="408">
          <cell r="A408" t="str">
            <v>SCD-029</v>
          </cell>
          <cell r="B408" t="str">
            <v>Staff Car Driver</v>
          </cell>
          <cell r="C408" t="str">
            <v>DEC Badin _ REC Thatta</v>
          </cell>
          <cell r="D408" t="e">
            <v>#REF!</v>
          </cell>
          <cell r="E408" t="str">
            <v xml:space="preserve">Jahangir </v>
          </cell>
          <cell r="F408">
            <v>7</v>
          </cell>
          <cell r="G408" t="str">
            <v>Staff Car Driver</v>
          </cell>
          <cell r="H408"/>
          <cell r="J408"/>
        </row>
        <row r="409">
          <cell r="A409" t="str">
            <v>CH-051</v>
          </cell>
          <cell r="B409" t="str">
            <v>Chowkidar</v>
          </cell>
          <cell r="C409" t="str">
            <v>DEC Badin _ REC Thatta</v>
          </cell>
          <cell r="D409" t="e">
            <v>#REF!</v>
          </cell>
          <cell r="E409" t="str">
            <v>Maqsood Ahmed</v>
          </cell>
          <cell r="F409">
            <v>4</v>
          </cell>
          <cell r="G409" t="str">
            <v>Chowkidar</v>
          </cell>
          <cell r="H409"/>
          <cell r="J409"/>
        </row>
        <row r="410">
          <cell r="A410" t="str">
            <v>CH-052</v>
          </cell>
          <cell r="B410" t="str">
            <v>Chowkidar</v>
          </cell>
          <cell r="C410" t="str">
            <v>DEC Badin _ REC Thatta</v>
          </cell>
          <cell r="D410" t="e">
            <v>#REF!</v>
          </cell>
          <cell r="E410" t="str">
            <v>Manzoor Ali</v>
          </cell>
          <cell r="F410">
            <v>4</v>
          </cell>
          <cell r="G410" t="str">
            <v>Chowkidar</v>
          </cell>
          <cell r="H410"/>
          <cell r="J410"/>
        </row>
        <row r="411">
          <cell r="A411" t="str">
            <v>NQ-076</v>
          </cell>
          <cell r="B411" t="str">
            <v>Naib Quasid</v>
          </cell>
          <cell r="C411" t="str">
            <v>DEC Badin _ REC Thatta</v>
          </cell>
          <cell r="D411" t="e">
            <v>#REF!</v>
          </cell>
          <cell r="E411" t="str">
            <v>Abdul Razzaque</v>
          </cell>
          <cell r="F411">
            <v>4</v>
          </cell>
          <cell r="G411" t="str">
            <v>Naib Quasid</v>
          </cell>
          <cell r="H411"/>
          <cell r="J411"/>
        </row>
        <row r="412">
          <cell r="A412" t="str">
            <v>NQ-077</v>
          </cell>
          <cell r="B412" t="str">
            <v>Naib Quasid</v>
          </cell>
          <cell r="C412" t="str">
            <v>DEC Badin _ REC Thatta</v>
          </cell>
          <cell r="D412" t="e">
            <v>#REF!</v>
          </cell>
          <cell r="E412" t="str">
            <v>Muhammad Aqib Soomro</v>
          </cell>
          <cell r="F412">
            <v>2</v>
          </cell>
          <cell r="G412" t="str">
            <v>Naib Quasid</v>
          </cell>
          <cell r="H412"/>
          <cell r="J412"/>
        </row>
        <row r="413">
          <cell r="A413" t="str">
            <v>SA-043</v>
          </cell>
          <cell r="B413" t="str">
            <v>Senior Assistant</v>
          </cell>
          <cell r="C413" t="str">
            <v>DEC Sujawal _ REC Thatta</v>
          </cell>
          <cell r="D413" t="e">
            <v>#REF!</v>
          </cell>
          <cell r="E413" t="str">
            <v>Saad Ahmed</v>
          </cell>
          <cell r="F413">
            <v>16</v>
          </cell>
          <cell r="G413" t="str">
            <v>Senior Assistant</v>
          </cell>
          <cell r="H413"/>
          <cell r="J413"/>
        </row>
        <row r="414">
          <cell r="A414" t="str">
            <v>DEO-065</v>
          </cell>
          <cell r="B414" t="str">
            <v xml:space="preserve">Data Entry Operator </v>
          </cell>
          <cell r="C414" t="str">
            <v>DEC Sujawal _ REC Thatta</v>
          </cell>
          <cell r="D414" t="e">
            <v>#REF!</v>
          </cell>
          <cell r="E414" t="str">
            <v>Vacant</v>
          </cell>
          <cell r="F414">
            <v>14</v>
          </cell>
          <cell r="G414" t="str">
            <v xml:space="preserve">Data Entry Operator </v>
          </cell>
          <cell r="H414"/>
          <cell r="J414"/>
        </row>
        <row r="415">
          <cell r="A415" t="str">
            <v>DEO-066</v>
          </cell>
          <cell r="B415" t="str">
            <v xml:space="preserve">Data Entry Operator </v>
          </cell>
          <cell r="C415" t="str">
            <v>DEC Sujawal _ REC Thatta</v>
          </cell>
          <cell r="D415" t="e">
            <v>#REF!</v>
          </cell>
          <cell r="E415" t="str">
            <v>Nabeel Ahmed</v>
          </cell>
          <cell r="F415">
            <v>14</v>
          </cell>
          <cell r="G415" t="str">
            <v xml:space="preserve">Data Entry Operator </v>
          </cell>
          <cell r="H415"/>
          <cell r="J415"/>
        </row>
        <row r="416">
          <cell r="A416" t="str">
            <v>JA-046</v>
          </cell>
          <cell r="B416" t="str">
            <v>Junior Assistant</v>
          </cell>
          <cell r="C416" t="str">
            <v>DEC Sujawal _ REC Thatta</v>
          </cell>
          <cell r="D416" t="e">
            <v>#REF!</v>
          </cell>
          <cell r="E416" t="str">
            <v>Shakeel Ahmed Memon</v>
          </cell>
          <cell r="F416">
            <v>13</v>
          </cell>
          <cell r="G416" t="str">
            <v>Junior Assistant</v>
          </cell>
          <cell r="H416"/>
          <cell r="J416"/>
        </row>
        <row r="417">
          <cell r="A417" t="str">
            <v>SUB-061</v>
          </cell>
          <cell r="B417" t="str">
            <v>Sub Assistant</v>
          </cell>
          <cell r="C417" t="str">
            <v>DEC Sujawal _ REC Thatta</v>
          </cell>
          <cell r="D417" t="e">
            <v>#REF!</v>
          </cell>
          <cell r="E417" t="str">
            <v>Vacant</v>
          </cell>
          <cell r="F417">
            <v>11</v>
          </cell>
          <cell r="G417" t="str">
            <v>Sub Assistant</v>
          </cell>
          <cell r="H417"/>
          <cell r="J417"/>
        </row>
        <row r="418">
          <cell r="A418" t="str">
            <v>SUB-062</v>
          </cell>
          <cell r="B418" t="str">
            <v>Sub Assistant</v>
          </cell>
          <cell r="C418" t="str">
            <v>DEC Sujawal _ REC Thatta</v>
          </cell>
          <cell r="D418" t="e">
            <v>#REF!</v>
          </cell>
          <cell r="E418" t="str">
            <v>Zargham Khan Ghori</v>
          </cell>
          <cell r="F418">
            <v>11</v>
          </cell>
          <cell r="G418" t="str">
            <v>Sub Assistant</v>
          </cell>
          <cell r="H418"/>
          <cell r="J418"/>
        </row>
        <row r="419">
          <cell r="A419" t="str">
            <v>SCD-030</v>
          </cell>
          <cell r="B419" t="str">
            <v>Staff Car Driver</v>
          </cell>
          <cell r="C419" t="str">
            <v>DEC Sujawal _ REC Thatta</v>
          </cell>
          <cell r="D419" t="e">
            <v>#REF!</v>
          </cell>
          <cell r="E419" t="str">
            <v>Mubarak Ali</v>
          </cell>
          <cell r="F419">
            <v>7</v>
          </cell>
          <cell r="G419" t="str">
            <v>Staff Car Driver</v>
          </cell>
          <cell r="H419"/>
          <cell r="J419"/>
        </row>
        <row r="420">
          <cell r="A420" t="str">
            <v>NQ-079</v>
          </cell>
          <cell r="B420" t="str">
            <v>Naib Quasid</v>
          </cell>
          <cell r="C420" t="str">
            <v>DD (Law) Office _ PEC Office</v>
          </cell>
          <cell r="D420" t="e">
            <v>#REF!</v>
          </cell>
          <cell r="E420" t="str">
            <v>Naseem Samoo</v>
          </cell>
          <cell r="F420">
            <v>5</v>
          </cell>
          <cell r="G420" t="str">
            <v>Naib Quasid</v>
          </cell>
          <cell r="H420"/>
          <cell r="J420"/>
        </row>
        <row r="421">
          <cell r="A421" t="str">
            <v>CH-053</v>
          </cell>
          <cell r="B421" t="str">
            <v>Chowkidar</v>
          </cell>
          <cell r="C421" t="str">
            <v>DEC Sujawal _ REC Thatta</v>
          </cell>
          <cell r="D421" t="e">
            <v>#REF!</v>
          </cell>
          <cell r="E421" t="str">
            <v>Faiz Muhammad</v>
          </cell>
          <cell r="F421">
            <v>4</v>
          </cell>
          <cell r="G421" t="str">
            <v>Chowkidar</v>
          </cell>
          <cell r="H421"/>
          <cell r="J421"/>
        </row>
        <row r="422">
          <cell r="A422" t="str">
            <v>CH-054</v>
          </cell>
          <cell r="B422" t="str">
            <v>Chowkidar</v>
          </cell>
          <cell r="C422" t="str">
            <v>DEC Sujawal _ REC Thatta</v>
          </cell>
          <cell r="D422" t="e">
            <v>#REF!</v>
          </cell>
          <cell r="E422" t="str">
            <v>Riaz Ali Mastoi</v>
          </cell>
          <cell r="F422">
            <v>4</v>
          </cell>
          <cell r="G422" t="str">
            <v>Chowkidar</v>
          </cell>
          <cell r="H422"/>
          <cell r="J422"/>
        </row>
        <row r="423">
          <cell r="A423" t="str">
            <v>NQ-078</v>
          </cell>
          <cell r="B423" t="str">
            <v>Naib Quasid</v>
          </cell>
          <cell r="C423" t="str">
            <v>DEC Sujawal _ REC Thatta</v>
          </cell>
          <cell r="D423" t="e">
            <v>#REF!</v>
          </cell>
          <cell r="E423" t="str">
            <v>Muhammad Ahmed</v>
          </cell>
          <cell r="F423">
            <v>2</v>
          </cell>
          <cell r="G423" t="str">
            <v>Naib Quasid</v>
          </cell>
          <cell r="H423"/>
          <cell r="J423"/>
        </row>
        <row r="424">
          <cell r="A424" t="str">
            <v>SUB-063</v>
          </cell>
          <cell r="B424" t="str">
            <v>Sub Assistant</v>
          </cell>
          <cell r="C424" t="str">
            <v>REC Mirpurkhas _ REC Mirpurkhas</v>
          </cell>
          <cell r="D424" t="e">
            <v>#REF!</v>
          </cell>
          <cell r="E424" t="str">
            <v>Waqar Hussain</v>
          </cell>
          <cell r="F424">
            <v>11</v>
          </cell>
          <cell r="G424" t="str">
            <v>Sub Assistant</v>
          </cell>
          <cell r="H424"/>
          <cell r="J424"/>
        </row>
        <row r="425">
          <cell r="A425" t="str">
            <v>DAD-006</v>
          </cell>
          <cell r="B425" t="str">
            <v>Deputy Assistant Director</v>
          </cell>
          <cell r="C425" t="str">
            <v>REC Mirpurkhas _ REC Mirpurkhas</v>
          </cell>
          <cell r="D425" t="e">
            <v>#REF!</v>
          </cell>
          <cell r="E425" t="str">
            <v>Kashif Malik</v>
          </cell>
          <cell r="F425">
            <v>16</v>
          </cell>
          <cell r="G425" t="str">
            <v>Deputy Assistant Director</v>
          </cell>
          <cell r="H425"/>
          <cell r="J425"/>
        </row>
        <row r="426">
          <cell r="A426" t="str">
            <v>SA-044</v>
          </cell>
          <cell r="B426" t="str">
            <v>Senior Assistant</v>
          </cell>
          <cell r="C426" t="str">
            <v>REC Mirpurkhas _ REC Mirpurkhas</v>
          </cell>
          <cell r="D426" t="e">
            <v>#REF!</v>
          </cell>
          <cell r="E426" t="str">
            <v>Sajid Hussain Pathatn</v>
          </cell>
          <cell r="F426">
            <v>16</v>
          </cell>
          <cell r="G426" t="str">
            <v>Senior Assistant</v>
          </cell>
          <cell r="H426"/>
          <cell r="J426"/>
        </row>
        <row r="427">
          <cell r="A427" t="str">
            <v>SPA-009</v>
          </cell>
          <cell r="B427" t="str">
            <v xml:space="preserve">Senior Personal Assistant </v>
          </cell>
          <cell r="C427" t="str">
            <v>REC Mirpurkhas _ REC Mirpurkhas</v>
          </cell>
          <cell r="D427" t="e">
            <v>#REF!</v>
          </cell>
          <cell r="E427" t="str">
            <v>Vacant</v>
          </cell>
          <cell r="F427">
            <v>16</v>
          </cell>
          <cell r="G427" t="str">
            <v xml:space="preserve">Senior Personal Assistant </v>
          </cell>
          <cell r="H427"/>
          <cell r="J427"/>
        </row>
        <row r="428">
          <cell r="A428" t="str">
            <v>DEO-067</v>
          </cell>
          <cell r="B428" t="str">
            <v xml:space="preserve">Data Entry Operator </v>
          </cell>
          <cell r="C428" t="str">
            <v>REC Mirpurkhas _ REC Mirpurkhas</v>
          </cell>
          <cell r="D428" t="e">
            <v>#REF!</v>
          </cell>
          <cell r="E428" t="str">
            <v>Muhammad Saad Khan</v>
          </cell>
          <cell r="F428">
            <v>15</v>
          </cell>
          <cell r="G428" t="str">
            <v xml:space="preserve">Data Entry Operator </v>
          </cell>
          <cell r="H428"/>
          <cell r="J428"/>
        </row>
        <row r="429">
          <cell r="A429" t="str">
            <v>JA-047</v>
          </cell>
          <cell r="B429" t="str">
            <v>Junior Assistant</v>
          </cell>
          <cell r="C429" t="str">
            <v>REC Mirpurkhas _ REC Mirpurkhas</v>
          </cell>
          <cell r="D429" t="e">
            <v>#REF!</v>
          </cell>
          <cell r="E429" t="str">
            <v xml:space="preserve">Muhammad Qabil </v>
          </cell>
          <cell r="F429">
            <v>13</v>
          </cell>
          <cell r="G429" t="str">
            <v>Junior Assistant</v>
          </cell>
          <cell r="H429"/>
          <cell r="J429"/>
        </row>
        <row r="430">
          <cell r="A430" t="str">
            <v>DR-008</v>
          </cell>
          <cell r="B430" t="str">
            <v>Dispatch Rider</v>
          </cell>
          <cell r="C430" t="str">
            <v>REC Mirpurkhas _ REC Mirpurkhas</v>
          </cell>
          <cell r="D430" t="e">
            <v>#REF!</v>
          </cell>
          <cell r="E430" t="str">
            <v>Muhammad Sualeh Hussain</v>
          </cell>
          <cell r="F430">
            <v>7</v>
          </cell>
          <cell r="G430" t="str">
            <v>Dispatch Rider</v>
          </cell>
          <cell r="H430"/>
          <cell r="J430"/>
        </row>
        <row r="431">
          <cell r="A431" t="str">
            <v>SCD-031</v>
          </cell>
          <cell r="B431" t="str">
            <v>Staff Car Driver</v>
          </cell>
          <cell r="C431" t="str">
            <v>REC Mirpurkhas _ REC Mirpurkhas</v>
          </cell>
          <cell r="D431" t="e">
            <v>#REF!</v>
          </cell>
          <cell r="E431" t="str">
            <v>Muhammad Sharif</v>
          </cell>
          <cell r="F431">
            <v>7</v>
          </cell>
          <cell r="G431" t="str">
            <v>Staff Car Driver</v>
          </cell>
          <cell r="H431"/>
          <cell r="J431"/>
        </row>
        <row r="432">
          <cell r="A432" t="str">
            <v>NQ-080</v>
          </cell>
          <cell r="B432" t="str">
            <v>Naib Quasid</v>
          </cell>
          <cell r="C432" t="str">
            <v>REC Mirpurkhas _ REC Mirpurkhas</v>
          </cell>
          <cell r="D432" t="e">
            <v>#REF!</v>
          </cell>
          <cell r="E432" t="str">
            <v>Nasir Ali</v>
          </cell>
          <cell r="F432">
            <v>5</v>
          </cell>
          <cell r="G432" t="str">
            <v>Naib Quasid</v>
          </cell>
          <cell r="H432"/>
          <cell r="J432"/>
        </row>
        <row r="433">
          <cell r="A433" t="str">
            <v>CH-055</v>
          </cell>
          <cell r="B433" t="str">
            <v>Chowkidar</v>
          </cell>
          <cell r="C433" t="str">
            <v>REC Mirpurkhas _ REC Mirpurkhas</v>
          </cell>
          <cell r="D433" t="e">
            <v>#REF!</v>
          </cell>
          <cell r="E433" t="str">
            <v>Ghulam Mustafa</v>
          </cell>
          <cell r="F433">
            <v>4</v>
          </cell>
          <cell r="G433" t="str">
            <v>Chowkidar</v>
          </cell>
          <cell r="H433"/>
          <cell r="J433"/>
        </row>
        <row r="434">
          <cell r="A434" t="str">
            <v>SA-045</v>
          </cell>
          <cell r="B434" t="str">
            <v>Senior Assistant</v>
          </cell>
          <cell r="C434" t="str">
            <v>REC Mirpurkhas Strong Room _ REC Mirpurkhas</v>
          </cell>
          <cell r="D434" t="e">
            <v>#REF!</v>
          </cell>
          <cell r="E434" t="str">
            <v>Muhammad Sohail Qureshi</v>
          </cell>
          <cell r="F434">
            <v>16</v>
          </cell>
          <cell r="G434" t="str">
            <v>Senior Assistant</v>
          </cell>
          <cell r="H434"/>
          <cell r="J434"/>
        </row>
        <row r="435">
          <cell r="A435" t="str">
            <v>JA-048</v>
          </cell>
          <cell r="B435" t="str">
            <v>Junior Assistant</v>
          </cell>
          <cell r="C435" t="str">
            <v>REC Mirpurkhas Strong Room _ REC Mirpurkhas</v>
          </cell>
          <cell r="D435" t="e">
            <v>#REF!</v>
          </cell>
          <cell r="E435" t="str">
            <v>Noor Muhammad</v>
          </cell>
          <cell r="F435">
            <v>13</v>
          </cell>
          <cell r="G435" t="str">
            <v>Junior Assistant</v>
          </cell>
          <cell r="H435"/>
          <cell r="J435"/>
        </row>
        <row r="436">
          <cell r="A436" t="str">
            <v>CH-056</v>
          </cell>
          <cell r="B436" t="str">
            <v>Chowkidar</v>
          </cell>
          <cell r="C436" t="str">
            <v>REC Mirpurkhas Strong Room _ REC Mirpurkhas</v>
          </cell>
          <cell r="D436" t="e">
            <v>#REF!</v>
          </cell>
          <cell r="E436" t="str">
            <v>Mumtaz Ali</v>
          </cell>
          <cell r="F436">
            <v>4</v>
          </cell>
          <cell r="G436" t="str">
            <v>Chowkidar</v>
          </cell>
          <cell r="H436"/>
          <cell r="J436"/>
        </row>
        <row r="437">
          <cell r="A437" t="str">
            <v>NQ-081</v>
          </cell>
          <cell r="B437" t="str">
            <v>Naib Quasid</v>
          </cell>
          <cell r="C437" t="str">
            <v>REC Mirpurkhas Strong Room _ REC Mirpurkhas</v>
          </cell>
          <cell r="D437" t="e">
            <v>#REF!</v>
          </cell>
          <cell r="E437" t="str">
            <v xml:space="preserve">Rustam Ali </v>
          </cell>
          <cell r="F437">
            <v>4</v>
          </cell>
          <cell r="G437" t="str">
            <v>Naib Quasid</v>
          </cell>
          <cell r="H437"/>
          <cell r="J437"/>
        </row>
        <row r="438">
          <cell r="A438" t="str">
            <v>SA-046</v>
          </cell>
          <cell r="B438" t="str">
            <v>Senior Assistant</v>
          </cell>
          <cell r="C438" t="str">
            <v>DEC Mirpurkhas _ REC Mirpurkhas</v>
          </cell>
          <cell r="D438" t="e">
            <v>#REF!</v>
          </cell>
          <cell r="E438" t="str">
            <v xml:space="preserve">Syed Anwar Hussain Rizvi  </v>
          </cell>
          <cell r="F438">
            <v>16</v>
          </cell>
          <cell r="G438" t="str">
            <v>Senior Assistant</v>
          </cell>
          <cell r="H438"/>
          <cell r="J438"/>
        </row>
        <row r="439">
          <cell r="A439" t="str">
            <v>DEO-068</v>
          </cell>
          <cell r="B439" t="str">
            <v xml:space="preserve">Data Entry Operator </v>
          </cell>
          <cell r="C439" t="str">
            <v>DEC Mirpurkhas _ REC Mirpurkhas</v>
          </cell>
          <cell r="D439" t="e">
            <v>#REF!</v>
          </cell>
          <cell r="E439" t="str">
            <v>Naveed</v>
          </cell>
          <cell r="F439">
            <v>15</v>
          </cell>
          <cell r="G439" t="str">
            <v xml:space="preserve">Data Entry Operator </v>
          </cell>
          <cell r="H439"/>
          <cell r="J439"/>
        </row>
        <row r="440">
          <cell r="A440" t="str">
            <v>DEO-069</v>
          </cell>
          <cell r="B440" t="str">
            <v xml:space="preserve">Data Entry Operator </v>
          </cell>
          <cell r="C440" t="str">
            <v>DEC Hyderabad _ REC Hyderabad</v>
          </cell>
          <cell r="D440" t="e">
            <v>#REF!</v>
          </cell>
          <cell r="E440" t="str">
            <v>Samiullah Larik</v>
          </cell>
          <cell r="F440">
            <v>15</v>
          </cell>
          <cell r="G440" t="str">
            <v xml:space="preserve">Data Entry Operator </v>
          </cell>
          <cell r="H440">
            <v>3</v>
          </cell>
          <cell r="I440">
            <v>0.6</v>
          </cell>
          <cell r="J440" t="str">
            <v>C Grade</v>
          </cell>
        </row>
        <row r="441">
          <cell r="A441" t="str">
            <v>DEO-070</v>
          </cell>
          <cell r="B441" t="str">
            <v xml:space="preserve">Data Entry Operator </v>
          </cell>
          <cell r="C441" t="str">
            <v>DEC Mirpurkhas _ REC Mirpurkhas</v>
          </cell>
          <cell r="D441" t="e">
            <v>#REF!</v>
          </cell>
          <cell r="E441" t="str">
            <v>Mansoor</v>
          </cell>
          <cell r="F441">
            <v>15</v>
          </cell>
          <cell r="G441" t="str">
            <v xml:space="preserve">Data Entry Operator </v>
          </cell>
          <cell r="H441"/>
          <cell r="J441"/>
        </row>
        <row r="442">
          <cell r="A442" t="str">
            <v>JA-049</v>
          </cell>
          <cell r="B442" t="str">
            <v>Junior Assistant</v>
          </cell>
          <cell r="C442" t="str">
            <v>DEC Mirpurkhas _ REC Mirpurkhas</v>
          </cell>
          <cell r="D442" t="e">
            <v>#REF!</v>
          </cell>
          <cell r="E442" t="str">
            <v>Vacant</v>
          </cell>
          <cell r="F442">
            <v>13</v>
          </cell>
          <cell r="G442" t="str">
            <v>Junior Assistant</v>
          </cell>
          <cell r="H442"/>
          <cell r="J442"/>
        </row>
        <row r="443">
          <cell r="A443" t="str">
            <v>SUB-065</v>
          </cell>
          <cell r="B443" t="str">
            <v>Sub Assistant</v>
          </cell>
          <cell r="C443" t="str">
            <v>DEC Mirpurkhas _ REC Mirpurkhas</v>
          </cell>
          <cell r="D443" t="e">
            <v>#REF!</v>
          </cell>
          <cell r="E443" t="str">
            <v>Sajjad Ali</v>
          </cell>
          <cell r="F443">
            <v>11</v>
          </cell>
          <cell r="G443" t="str">
            <v>Sub Assistant</v>
          </cell>
          <cell r="H443"/>
          <cell r="J443"/>
        </row>
        <row r="444">
          <cell r="A444" t="str">
            <v>SCD-032</v>
          </cell>
          <cell r="B444" t="str">
            <v>Staff Car Driver</v>
          </cell>
          <cell r="C444" t="str">
            <v>DEC Mirpurkhas _ REC Mirpurkhas</v>
          </cell>
          <cell r="D444" t="e">
            <v>#REF!</v>
          </cell>
          <cell r="E444" t="str">
            <v>Abdul Ghaffar</v>
          </cell>
          <cell r="F444">
            <v>7</v>
          </cell>
          <cell r="G444" t="str">
            <v>Staff Car Driver</v>
          </cell>
          <cell r="H444"/>
          <cell r="J444"/>
        </row>
        <row r="445">
          <cell r="A445" t="str">
            <v>CH-057</v>
          </cell>
          <cell r="B445" t="str">
            <v>Chowkidar</v>
          </cell>
          <cell r="C445" t="str">
            <v>DEC Mirpurkhas _ REC Mirpurkhas</v>
          </cell>
          <cell r="D445" t="e">
            <v>#REF!</v>
          </cell>
          <cell r="E445" t="str">
            <v>Qurban Ali</v>
          </cell>
          <cell r="F445">
            <v>4</v>
          </cell>
          <cell r="G445" t="str">
            <v>Chowkidar</v>
          </cell>
          <cell r="H445"/>
          <cell r="J445"/>
        </row>
        <row r="446">
          <cell r="A446" t="str">
            <v>CH-058</v>
          </cell>
          <cell r="B446" t="str">
            <v>Chowkidar</v>
          </cell>
          <cell r="C446" t="str">
            <v>DEC Mirpurkhas _ REC Mirpurkhas</v>
          </cell>
          <cell r="D446" t="e">
            <v>#REF!</v>
          </cell>
          <cell r="E446" t="str">
            <v>Badal Khan</v>
          </cell>
          <cell r="F446">
            <v>4</v>
          </cell>
          <cell r="G446" t="str">
            <v>Chowkidar</v>
          </cell>
          <cell r="H446"/>
          <cell r="J446"/>
        </row>
        <row r="447">
          <cell r="A447" t="str">
            <v>NQ-082</v>
          </cell>
          <cell r="B447" t="str">
            <v>Naib Quasid</v>
          </cell>
          <cell r="C447" t="str">
            <v>DEC Mirpurkhas _ REC Mirpurkhas</v>
          </cell>
          <cell r="D447" t="e">
            <v>#REF!</v>
          </cell>
          <cell r="E447" t="str">
            <v>Sanjay Kumar</v>
          </cell>
          <cell r="F447">
            <v>4</v>
          </cell>
          <cell r="G447" t="str">
            <v>Naib Quasid</v>
          </cell>
          <cell r="H447"/>
          <cell r="J447"/>
        </row>
        <row r="448">
          <cell r="A448" t="str">
            <v>NQ-083</v>
          </cell>
          <cell r="B448" t="str">
            <v>Naib Quasid</v>
          </cell>
          <cell r="C448" t="str">
            <v>DEC Mirpurkhas _ REC Mirpurkhas</v>
          </cell>
          <cell r="D448" t="e">
            <v>#REF!</v>
          </cell>
          <cell r="E448" t="str">
            <v>Nadir Khan</v>
          </cell>
          <cell r="F448">
            <v>4</v>
          </cell>
          <cell r="G448" t="str">
            <v>Naib Quasid</v>
          </cell>
          <cell r="H448"/>
          <cell r="J448"/>
        </row>
        <row r="449">
          <cell r="A449" t="str">
            <v>SUB-080</v>
          </cell>
          <cell r="B449" t="str">
            <v>Sub Assistant</v>
          </cell>
          <cell r="C449" t="str">
            <v>DEC Mirpurkhas _ REC Mirpurkhas</v>
          </cell>
          <cell r="D449" t="e">
            <v>#REF!</v>
          </cell>
          <cell r="E449" t="str">
            <v>Afhan Ullah</v>
          </cell>
          <cell r="F449">
            <v>11</v>
          </cell>
          <cell r="G449" t="str">
            <v>Sub Assistant</v>
          </cell>
          <cell r="H449">
            <v>2</v>
          </cell>
          <cell r="I449">
            <v>0.6</v>
          </cell>
          <cell r="J449" t="str">
            <v>Satisfactory</v>
          </cell>
        </row>
        <row r="450">
          <cell r="A450" t="str">
            <v>SA-047</v>
          </cell>
          <cell r="B450" t="str">
            <v>Senior Assistant</v>
          </cell>
          <cell r="C450" t="str">
            <v>DEC Tharparkar _ REC Mirpurkhas</v>
          </cell>
          <cell r="D450" t="e">
            <v>#REF!</v>
          </cell>
          <cell r="E450" t="str">
            <v>Shayam Sundar</v>
          </cell>
          <cell r="F450">
            <v>16</v>
          </cell>
          <cell r="G450" t="str">
            <v>Senior Assistant</v>
          </cell>
          <cell r="H450"/>
          <cell r="J450"/>
        </row>
        <row r="451">
          <cell r="A451" t="str">
            <v>DEO-071</v>
          </cell>
          <cell r="B451" t="str">
            <v xml:space="preserve">Data Entry Operator </v>
          </cell>
          <cell r="C451" t="str">
            <v>DEC Tharparkar _ REC Mirpurkhas</v>
          </cell>
          <cell r="D451" t="e">
            <v>#REF!</v>
          </cell>
          <cell r="E451" t="str">
            <v>Vacant</v>
          </cell>
          <cell r="F451">
            <v>14</v>
          </cell>
          <cell r="G451" t="str">
            <v xml:space="preserve">Data Entry Operator </v>
          </cell>
          <cell r="H451"/>
          <cell r="J451"/>
        </row>
        <row r="452">
          <cell r="A452" t="str">
            <v>DEO-072</v>
          </cell>
          <cell r="B452" t="str">
            <v xml:space="preserve">Data Entry Operator </v>
          </cell>
          <cell r="C452" t="str">
            <v>DEC Tharparkar _ REC Mirpurkhas</v>
          </cell>
          <cell r="D452" t="e">
            <v>#REF!</v>
          </cell>
          <cell r="E452" t="str">
            <v>Muslim Raza</v>
          </cell>
          <cell r="F452">
            <v>14</v>
          </cell>
          <cell r="G452" t="str">
            <v xml:space="preserve">Data Entry Operator </v>
          </cell>
          <cell r="H452"/>
          <cell r="J452"/>
        </row>
        <row r="453">
          <cell r="A453" t="str">
            <v>DEO-073</v>
          </cell>
          <cell r="B453" t="str">
            <v xml:space="preserve">Data Entry Operator </v>
          </cell>
          <cell r="C453" t="str">
            <v>DEC Tharparkar _ REC Mirpurkhas</v>
          </cell>
          <cell r="D453" t="e">
            <v>#REF!</v>
          </cell>
          <cell r="E453" t="str">
            <v>Awais Ahmed Naich</v>
          </cell>
          <cell r="F453">
            <v>14</v>
          </cell>
          <cell r="G453" t="str">
            <v xml:space="preserve">Data Entry Operator </v>
          </cell>
          <cell r="H453"/>
          <cell r="J453"/>
        </row>
        <row r="454">
          <cell r="A454" t="str">
            <v>JA-050</v>
          </cell>
          <cell r="B454" t="str">
            <v>Junior Assistant</v>
          </cell>
          <cell r="C454" t="str">
            <v>DEC Tharparkar _ REC Mirpurkhas</v>
          </cell>
          <cell r="D454" t="e">
            <v>#REF!</v>
          </cell>
          <cell r="E454" t="str">
            <v>Noman Ahmed</v>
          </cell>
          <cell r="F454">
            <v>13</v>
          </cell>
          <cell r="G454" t="str">
            <v>Junior Assistant</v>
          </cell>
          <cell r="H454"/>
          <cell r="J454"/>
        </row>
        <row r="455">
          <cell r="A455" t="str">
            <v>SUB-066</v>
          </cell>
          <cell r="B455" t="str">
            <v>Sub Assistant</v>
          </cell>
          <cell r="C455" t="str">
            <v>DEC Tharparkar _ REC Mirpurkhas</v>
          </cell>
          <cell r="D455" t="e">
            <v>#REF!</v>
          </cell>
          <cell r="E455" t="str">
            <v xml:space="preserve">Moosa </v>
          </cell>
          <cell r="F455">
            <v>11</v>
          </cell>
          <cell r="G455" t="str">
            <v>Sub Assistant</v>
          </cell>
          <cell r="H455"/>
          <cell r="J455"/>
        </row>
        <row r="456">
          <cell r="A456" t="str">
            <v>SUB-067</v>
          </cell>
          <cell r="B456" t="str">
            <v>Sub Assistant</v>
          </cell>
          <cell r="C456" t="str">
            <v>DEC Tharparkar _ REC Mirpurkhas</v>
          </cell>
          <cell r="D456" t="e">
            <v>#REF!</v>
          </cell>
          <cell r="E456" t="str">
            <v>Ali Haider Shah</v>
          </cell>
          <cell r="F456">
            <v>11</v>
          </cell>
          <cell r="G456" t="str">
            <v>Sub Assistant</v>
          </cell>
          <cell r="H456"/>
          <cell r="J456"/>
        </row>
        <row r="457">
          <cell r="A457" t="str">
            <v>SCD-033</v>
          </cell>
          <cell r="B457" t="str">
            <v>Staff Car Driver</v>
          </cell>
          <cell r="C457" t="str">
            <v>DEC Tharparkar _ REC Mirpurkhas</v>
          </cell>
          <cell r="D457" t="e">
            <v>#REF!</v>
          </cell>
          <cell r="E457" t="str">
            <v xml:space="preserve">Dodo Khan </v>
          </cell>
          <cell r="F457">
            <v>7</v>
          </cell>
          <cell r="G457" t="str">
            <v>Staff Car Driver</v>
          </cell>
          <cell r="H457"/>
          <cell r="J457"/>
        </row>
        <row r="458">
          <cell r="A458" t="str">
            <v>CH-059</v>
          </cell>
          <cell r="B458" t="str">
            <v>Chowkidar</v>
          </cell>
          <cell r="C458" t="str">
            <v>DEC Tharparkar _ REC Mirpurkhas</v>
          </cell>
          <cell r="D458" t="e">
            <v>#REF!</v>
          </cell>
          <cell r="E458" t="str">
            <v>Amir Bux</v>
          </cell>
          <cell r="F458">
            <v>5</v>
          </cell>
          <cell r="G458" t="str">
            <v>Chowkidar</v>
          </cell>
          <cell r="H458"/>
          <cell r="J458"/>
        </row>
        <row r="459">
          <cell r="A459" t="str">
            <v>NQ-084</v>
          </cell>
          <cell r="B459" t="str">
            <v>Naib Quasid</v>
          </cell>
          <cell r="C459" t="str">
            <v>DEC Tharparkar _ REC Mirpurkhas</v>
          </cell>
          <cell r="D459" t="e">
            <v>#REF!</v>
          </cell>
          <cell r="E459" t="str">
            <v xml:space="preserve">Jain Khan </v>
          </cell>
          <cell r="F459">
            <v>5</v>
          </cell>
          <cell r="G459" t="str">
            <v>Naib Quasid</v>
          </cell>
          <cell r="H459"/>
          <cell r="J459"/>
        </row>
        <row r="460">
          <cell r="A460" t="str">
            <v>CH-060</v>
          </cell>
          <cell r="B460" t="str">
            <v>Chowkidar</v>
          </cell>
          <cell r="C460" t="str">
            <v>DEC Tharparkar _ REC Mirpurkhas</v>
          </cell>
          <cell r="D460" t="e">
            <v>#REF!</v>
          </cell>
          <cell r="E460" t="str">
            <v>Gul Nawaz Magsi</v>
          </cell>
          <cell r="F460">
            <v>4</v>
          </cell>
          <cell r="G460" t="str">
            <v>Chowkidar</v>
          </cell>
          <cell r="H460"/>
          <cell r="J460"/>
        </row>
        <row r="461">
          <cell r="A461" t="str">
            <v>CH-076</v>
          </cell>
          <cell r="B461" t="str">
            <v>Chowkidar</v>
          </cell>
          <cell r="C461" t="str">
            <v>DEC Tharparkar _ REC Mirpurkhas</v>
          </cell>
          <cell r="D461" t="e">
            <v>#REF!</v>
          </cell>
          <cell r="E461" t="str">
            <v>Qurban Ali (Extra Staff)</v>
          </cell>
          <cell r="F461">
            <v>4</v>
          </cell>
          <cell r="G461" t="str">
            <v>Chowkidar</v>
          </cell>
          <cell r="H461"/>
          <cell r="J461"/>
        </row>
        <row r="462">
          <cell r="A462" t="str">
            <v>NQ-085</v>
          </cell>
          <cell r="B462" t="str">
            <v>Naib Quasid</v>
          </cell>
          <cell r="C462" t="str">
            <v>DEC Tharparkar _ REC Mirpurkhas</v>
          </cell>
          <cell r="D462" t="e">
            <v>#REF!</v>
          </cell>
          <cell r="E462" t="str">
            <v>Furqan Ali</v>
          </cell>
          <cell r="F462">
            <v>2</v>
          </cell>
          <cell r="G462" t="str">
            <v>Naib Quasid</v>
          </cell>
          <cell r="H462"/>
          <cell r="J462"/>
        </row>
        <row r="463">
          <cell r="A463" t="str">
            <v>SA-048</v>
          </cell>
          <cell r="B463" t="str">
            <v>Senior Assistant</v>
          </cell>
          <cell r="C463" t="str">
            <v>DEC Umerkot _ REC Mirpurkhas</v>
          </cell>
          <cell r="D463" t="e">
            <v>#REF!</v>
          </cell>
          <cell r="E463" t="str">
            <v>Jasroop Das</v>
          </cell>
          <cell r="F463">
            <v>16</v>
          </cell>
          <cell r="G463" t="str">
            <v>Senior Assistant</v>
          </cell>
          <cell r="H463"/>
          <cell r="J463"/>
        </row>
        <row r="464">
          <cell r="A464" t="str">
            <v>DEO-074</v>
          </cell>
          <cell r="B464" t="str">
            <v xml:space="preserve">Data Entry Operator </v>
          </cell>
          <cell r="C464" t="str">
            <v>DEC Umerkot _ REC Mirpurkhas</v>
          </cell>
          <cell r="D464" t="e">
            <v>#REF!</v>
          </cell>
          <cell r="E464" t="str">
            <v>Shahzaib Ali</v>
          </cell>
          <cell r="F464">
            <v>15</v>
          </cell>
          <cell r="G464" t="str">
            <v xml:space="preserve">Data Entry Operator </v>
          </cell>
          <cell r="H464"/>
          <cell r="J464"/>
        </row>
        <row r="465">
          <cell r="A465" t="str">
            <v>DEO-075</v>
          </cell>
          <cell r="B465" t="str">
            <v xml:space="preserve">Data Entry Operator </v>
          </cell>
          <cell r="C465" t="str">
            <v>DEC Umerkot _ REC Mirpurkhas</v>
          </cell>
          <cell r="D465" t="e">
            <v>#REF!</v>
          </cell>
          <cell r="E465" t="str">
            <v>Awais Ahmed S/o Shakeel Ahmed Memon</v>
          </cell>
          <cell r="F465">
            <v>14</v>
          </cell>
          <cell r="G465" t="str">
            <v xml:space="preserve">Data Entry Operator </v>
          </cell>
          <cell r="H465"/>
          <cell r="J465"/>
        </row>
        <row r="466">
          <cell r="A466" t="str">
            <v>JA-051</v>
          </cell>
          <cell r="B466" t="str">
            <v>Junior Assistant</v>
          </cell>
          <cell r="C466" t="str">
            <v>DEC Umerkot _ REC Mirpurkhas</v>
          </cell>
          <cell r="D466" t="e">
            <v>#REF!</v>
          </cell>
          <cell r="E466" t="str">
            <v>Suresh S/o Aatam</v>
          </cell>
          <cell r="F466">
            <v>13</v>
          </cell>
          <cell r="G466" t="str">
            <v>Junior Assistant</v>
          </cell>
          <cell r="H466"/>
          <cell r="J466"/>
        </row>
        <row r="467">
          <cell r="A467" t="str">
            <v>SUB-068</v>
          </cell>
          <cell r="B467" t="str">
            <v>Sub Assistant</v>
          </cell>
          <cell r="C467" t="str">
            <v>DEC Umerkot _ REC Mirpurkhas</v>
          </cell>
          <cell r="D467" t="e">
            <v>#REF!</v>
          </cell>
          <cell r="E467" t="str">
            <v>Riaz Ali</v>
          </cell>
          <cell r="F467">
            <v>11</v>
          </cell>
          <cell r="G467" t="str">
            <v>Sub Assistant</v>
          </cell>
          <cell r="H467"/>
          <cell r="J467"/>
        </row>
        <row r="468">
          <cell r="A468" t="str">
            <v>SUB-069</v>
          </cell>
          <cell r="B468" t="str">
            <v>Sub Assistant</v>
          </cell>
          <cell r="C468" t="str">
            <v>DEC Umerkot _ REC Mirpurkhas</v>
          </cell>
          <cell r="D468" t="e">
            <v>#REF!</v>
          </cell>
          <cell r="E468" t="str">
            <v>Vacant</v>
          </cell>
          <cell r="F468">
            <v>11</v>
          </cell>
          <cell r="G468" t="str">
            <v>Sub Assistant</v>
          </cell>
          <cell r="H468"/>
          <cell r="J468"/>
        </row>
        <row r="469">
          <cell r="A469" t="str">
            <v>SCD-034</v>
          </cell>
          <cell r="B469" t="str">
            <v>Staff Car Driver</v>
          </cell>
          <cell r="C469" t="str">
            <v>DEC Umerkot _ REC Mirpurkhas</v>
          </cell>
          <cell r="D469" t="e">
            <v>#REF!</v>
          </cell>
          <cell r="E469" t="str">
            <v>Muhammad Soomar</v>
          </cell>
          <cell r="F469">
            <v>7</v>
          </cell>
          <cell r="G469" t="str">
            <v>Staff Car Driver</v>
          </cell>
          <cell r="H469"/>
          <cell r="J469"/>
        </row>
        <row r="470">
          <cell r="A470" t="str">
            <v>NQ-086</v>
          </cell>
          <cell r="B470" t="str">
            <v>Naib Quasid</v>
          </cell>
          <cell r="C470" t="str">
            <v>DEC Umerkot _ REC Mirpurkhas</v>
          </cell>
          <cell r="D470" t="e">
            <v>#REF!</v>
          </cell>
          <cell r="E470" t="str">
            <v>Muhammad Akbar</v>
          </cell>
          <cell r="F470">
            <v>5</v>
          </cell>
          <cell r="G470" t="str">
            <v>Naib Quasid</v>
          </cell>
          <cell r="H470"/>
          <cell r="J470"/>
        </row>
        <row r="471">
          <cell r="A471" t="str">
            <v>CH-061</v>
          </cell>
          <cell r="B471" t="str">
            <v>Chowkidar</v>
          </cell>
          <cell r="C471" t="str">
            <v>DEC Umerkot _ REC Mirpurkhas</v>
          </cell>
          <cell r="D471" t="e">
            <v>#REF!</v>
          </cell>
          <cell r="E471" t="str">
            <v>Inaam</v>
          </cell>
          <cell r="F471">
            <v>4</v>
          </cell>
          <cell r="G471" t="str">
            <v>Chowkidar</v>
          </cell>
          <cell r="H471"/>
          <cell r="J471"/>
        </row>
        <row r="472">
          <cell r="A472" t="str">
            <v>CH-062</v>
          </cell>
          <cell r="B472" t="str">
            <v>Chowkidar</v>
          </cell>
          <cell r="C472" t="str">
            <v>DEC Umerkot _ REC Mirpurkhas</v>
          </cell>
          <cell r="D472" t="e">
            <v>#REF!</v>
          </cell>
          <cell r="E472" t="str">
            <v xml:space="preserve">Akhtar Ali </v>
          </cell>
          <cell r="F472">
            <v>4</v>
          </cell>
          <cell r="G472" t="str">
            <v>Chowkidar</v>
          </cell>
          <cell r="H472"/>
          <cell r="J472"/>
        </row>
        <row r="473">
          <cell r="A473" t="str">
            <v>NQ-087</v>
          </cell>
          <cell r="B473" t="str">
            <v>Naib Quasid</v>
          </cell>
          <cell r="C473" t="str">
            <v>DEC Umerkot _ REC Mirpurkhas</v>
          </cell>
          <cell r="D473" t="e">
            <v>#REF!</v>
          </cell>
          <cell r="E473" t="str">
            <v>Muhammad Adnan Saleem</v>
          </cell>
          <cell r="F473">
            <v>4</v>
          </cell>
          <cell r="G473" t="str">
            <v>Naib Quasid</v>
          </cell>
          <cell r="H473"/>
          <cell r="J473"/>
        </row>
        <row r="474">
          <cell r="A474" t="str">
            <v>DAD-007</v>
          </cell>
          <cell r="B474" t="str">
            <v>Deputy Assistant Director</v>
          </cell>
          <cell r="C474" t="str">
            <v>REC Karachi _ REC Karachi</v>
          </cell>
          <cell r="D474" t="e">
            <v>#REF!</v>
          </cell>
          <cell r="E474" t="str">
            <v>Ms.Kanwal</v>
          </cell>
          <cell r="F474">
            <v>16</v>
          </cell>
          <cell r="G474" t="str">
            <v>Deputy Assistant Director</v>
          </cell>
          <cell r="H474">
            <v>3</v>
          </cell>
          <cell r="I474">
            <v>0.68</v>
          </cell>
          <cell r="J474" t="str">
            <v>Participated actively in group discussion as well as in plays</v>
          </cell>
        </row>
        <row r="475">
          <cell r="A475" t="str">
            <v>SA-049</v>
          </cell>
          <cell r="B475" t="str">
            <v>Senior Assistant</v>
          </cell>
          <cell r="C475" t="str">
            <v>REC Karachi _ REC Karachi</v>
          </cell>
          <cell r="D475" t="e">
            <v>#REF!</v>
          </cell>
          <cell r="E475" t="str">
            <v>Shafaq Qamar</v>
          </cell>
          <cell r="F475">
            <v>16</v>
          </cell>
          <cell r="G475" t="str">
            <v>Senior Assistant</v>
          </cell>
          <cell r="H475">
            <v>3</v>
          </cell>
          <cell r="I475">
            <v>0.7</v>
          </cell>
          <cell r="J475" t="str">
            <v>Participation was good. Took good interest in leasing &amp; discussions.</v>
          </cell>
        </row>
        <row r="476">
          <cell r="A476" t="str">
            <v>SPA-010</v>
          </cell>
          <cell r="B476" t="str">
            <v xml:space="preserve">Senior Personal Assistant </v>
          </cell>
          <cell r="C476" t="str">
            <v>REC Karachi _ REC Karachi</v>
          </cell>
          <cell r="D476" t="e">
            <v>#REF!</v>
          </cell>
          <cell r="E476" t="str">
            <v>Adeel Iqbal</v>
          </cell>
          <cell r="F476">
            <v>16</v>
          </cell>
          <cell r="G476" t="str">
            <v xml:space="preserve">Senior Personal Assistant </v>
          </cell>
          <cell r="H476">
            <v>1</v>
          </cell>
          <cell r="I476">
            <v>0.7</v>
          </cell>
          <cell r="J476" t="str">
            <v>Satisfactory</v>
          </cell>
        </row>
        <row r="477">
          <cell r="A477" t="str">
            <v>DEO-076</v>
          </cell>
          <cell r="B477" t="str">
            <v xml:space="preserve">Data Entry Operator </v>
          </cell>
          <cell r="C477" t="str">
            <v>REC Karachi _ REC Karachi</v>
          </cell>
          <cell r="D477" t="e">
            <v>#REF!</v>
          </cell>
          <cell r="E477" t="str">
            <v>Muhammad Faisal Khan</v>
          </cell>
          <cell r="F477">
            <v>15</v>
          </cell>
          <cell r="G477" t="str">
            <v xml:space="preserve">Data Entry Operator </v>
          </cell>
          <cell r="H477">
            <v>3</v>
          </cell>
          <cell r="I477">
            <v>0.72</v>
          </cell>
          <cell r="J477" t="str">
            <v>Actively participated in all activities and took good interest in training.</v>
          </cell>
        </row>
        <row r="478">
          <cell r="A478" t="str">
            <v>JA-052</v>
          </cell>
          <cell r="B478" t="str">
            <v>Junior Assistant</v>
          </cell>
          <cell r="C478" t="str">
            <v>REC Karachi _ REC Karachi</v>
          </cell>
          <cell r="D478" t="e">
            <v>#REF!</v>
          </cell>
          <cell r="E478" t="str">
            <v>Vicky Kamran</v>
          </cell>
          <cell r="F478">
            <v>13</v>
          </cell>
          <cell r="G478" t="str">
            <v>Junior Assistant</v>
          </cell>
          <cell r="H478">
            <v>1</v>
          </cell>
          <cell r="I478">
            <v>0.7</v>
          </cell>
          <cell r="J478" t="str">
            <v>Performed actively</v>
          </cell>
        </row>
        <row r="479">
          <cell r="A479" t="str">
            <v>SUB-070</v>
          </cell>
          <cell r="B479" t="str">
            <v>Sub Assistant</v>
          </cell>
          <cell r="C479" t="str">
            <v>REC Karachi _ REC Karachi</v>
          </cell>
          <cell r="D479" t="e">
            <v>#REF!</v>
          </cell>
          <cell r="E479" t="str">
            <v xml:space="preserve">Munawar Durrani </v>
          </cell>
          <cell r="F479">
            <v>11</v>
          </cell>
          <cell r="G479" t="str">
            <v>Sub Assistant</v>
          </cell>
          <cell r="H479">
            <v>3</v>
          </cell>
          <cell r="I479">
            <v>0.68</v>
          </cell>
          <cell r="J479" t="str">
            <v xml:space="preserve">Paid proper attention to all sessions and actively participating in all activities </v>
          </cell>
        </row>
        <row r="480">
          <cell r="A480" t="str">
            <v>DR-009</v>
          </cell>
          <cell r="B480" t="str">
            <v>Dispatch Rider</v>
          </cell>
          <cell r="C480" t="str">
            <v>REC Karachi _ REC Karachi</v>
          </cell>
          <cell r="D480" t="e">
            <v>#REF!</v>
          </cell>
          <cell r="E480" t="str">
            <v>Anees Ahmed Lodhi</v>
          </cell>
          <cell r="F480">
            <v>7</v>
          </cell>
          <cell r="G480" t="str">
            <v>Dispatch Rider</v>
          </cell>
          <cell r="H480">
            <v>3</v>
          </cell>
          <cell r="I480">
            <v>0.63</v>
          </cell>
          <cell r="J480" t="str">
            <v>Took a good interest in understanding basic concepts. However, he was not able to participate properly in discussions or play. found it reluctant to stand his views</v>
          </cell>
        </row>
        <row r="481">
          <cell r="A481" t="str">
            <v>SCD-019</v>
          </cell>
          <cell r="B481" t="str">
            <v>Staff Car Driver</v>
          </cell>
          <cell r="C481" t="str">
            <v>REC Karachi _ REC Karachi</v>
          </cell>
          <cell r="D481" t="e">
            <v>#REF!</v>
          </cell>
          <cell r="E481" t="str">
            <v>Abdul Sattar Supro</v>
          </cell>
          <cell r="F481">
            <v>7</v>
          </cell>
          <cell r="G481" t="str">
            <v>Staff Car Driver</v>
          </cell>
          <cell r="H481">
            <v>3</v>
          </cell>
          <cell r="I481">
            <v>0.73</v>
          </cell>
          <cell r="J481" t="str">
            <v>Took good interest in training. very attentively listened to lectures. participated in all activities.</v>
          </cell>
        </row>
        <row r="482">
          <cell r="A482" t="str">
            <v>CH-063</v>
          </cell>
          <cell r="B482" t="str">
            <v>Chowkidar</v>
          </cell>
          <cell r="C482" t="str">
            <v>REC Karachi _ REC Karachi</v>
          </cell>
          <cell r="D482" t="e">
            <v>#REF!</v>
          </cell>
          <cell r="E482" t="str">
            <v>Syed Bhural Shah</v>
          </cell>
          <cell r="F482">
            <v>4</v>
          </cell>
          <cell r="G482" t="str">
            <v>Chowkidar</v>
          </cell>
          <cell r="H482">
            <v>3</v>
          </cell>
          <cell r="I482">
            <v>0.5</v>
          </cell>
          <cell r="J482" t="str">
            <v xml:space="preserve">He was able to understand the issue but did not participate properly in discussions, group activities &amp; play. Despite training, he was found unable to answer queries </v>
          </cell>
        </row>
        <row r="483">
          <cell r="A483" t="str">
            <v>NQ-088</v>
          </cell>
          <cell r="B483" t="str">
            <v>Naib Quasid</v>
          </cell>
          <cell r="C483" t="str">
            <v>REC Karachi _ REC Karachi</v>
          </cell>
          <cell r="D483" t="e">
            <v>#REF!</v>
          </cell>
          <cell r="E483" t="str">
            <v>Zubair khan</v>
          </cell>
          <cell r="F483">
            <v>4</v>
          </cell>
          <cell r="G483" t="str">
            <v>Naib Quasid</v>
          </cell>
          <cell r="H483">
            <v>2</v>
          </cell>
          <cell r="I483">
            <v>0.7</v>
          </cell>
          <cell r="J483" t="str">
            <v>Activley Participated</v>
          </cell>
        </row>
        <row r="484">
          <cell r="A484" t="str">
            <v>SA-050</v>
          </cell>
          <cell r="B484" t="str">
            <v>Senior Assistant</v>
          </cell>
          <cell r="C484" t="str">
            <v>REC Karachi Strong Room _ REC Karachi</v>
          </cell>
          <cell r="D484" t="e">
            <v>#REF!</v>
          </cell>
          <cell r="E484" t="str">
            <v>Ahsen Javed</v>
          </cell>
          <cell r="F484">
            <v>16</v>
          </cell>
          <cell r="G484" t="str">
            <v>Senior Assistant</v>
          </cell>
          <cell r="H484">
            <v>2</v>
          </cell>
          <cell r="I484">
            <v>0.8</v>
          </cell>
          <cell r="J484" t="str">
            <v>The official has great abilities performed well</v>
          </cell>
        </row>
        <row r="485">
          <cell r="A485" t="str">
            <v>JA-053</v>
          </cell>
          <cell r="B485" t="str">
            <v>Junior Assistant</v>
          </cell>
          <cell r="C485" t="str">
            <v>REC Karachi Strong Room _ REC Karachi</v>
          </cell>
          <cell r="D485" t="e">
            <v>#REF!</v>
          </cell>
          <cell r="E485" t="str">
            <v>Shaikh Muhammad Munir</v>
          </cell>
          <cell r="F485">
            <v>13</v>
          </cell>
          <cell r="G485" t="str">
            <v>Junior Assistant</v>
          </cell>
          <cell r="H485">
            <v>1</v>
          </cell>
          <cell r="I485">
            <v>0.7</v>
          </cell>
          <cell r="J485" t="str">
            <v>Satisfactory</v>
          </cell>
        </row>
        <row r="486">
          <cell r="A486" t="str">
            <v>CH-064</v>
          </cell>
          <cell r="B486" t="str">
            <v>Chowkidar</v>
          </cell>
          <cell r="C486" t="str">
            <v>REC Karachi Strong Room _ REC Karachi</v>
          </cell>
          <cell r="D486" t="e">
            <v>#REF!</v>
          </cell>
          <cell r="E486" t="str">
            <v>Yasir Mehmood</v>
          </cell>
          <cell r="F486">
            <v>4</v>
          </cell>
          <cell r="G486" t="str">
            <v>Chowkidar</v>
          </cell>
          <cell r="H486">
            <v>1</v>
          </cell>
          <cell r="I486">
            <v>0.6</v>
          </cell>
          <cell r="J486" t="str">
            <v>Satisfactory</v>
          </cell>
        </row>
        <row r="487">
          <cell r="A487" t="str">
            <v>NQ-089</v>
          </cell>
          <cell r="B487" t="str">
            <v>Naib Quasid</v>
          </cell>
          <cell r="C487" t="str">
            <v>REC Karachi Strong Room _ REC Karachi</v>
          </cell>
          <cell r="D487" t="e">
            <v>#REF!</v>
          </cell>
          <cell r="E487" t="str">
            <v>Saad</v>
          </cell>
          <cell r="F487">
            <v>4</v>
          </cell>
          <cell r="G487" t="str">
            <v>Naib Quasid</v>
          </cell>
          <cell r="H487">
            <v>1</v>
          </cell>
          <cell r="I487">
            <v>0.6</v>
          </cell>
          <cell r="J487" t="str">
            <v>Satisfactory</v>
          </cell>
        </row>
        <row r="488">
          <cell r="A488" t="str">
            <v>SUB-071</v>
          </cell>
          <cell r="B488" t="str">
            <v>Sub Assistant</v>
          </cell>
          <cell r="C488" t="str">
            <v>DEC Malir _ REC Karachi</v>
          </cell>
          <cell r="D488" t="e">
            <v>#REF!</v>
          </cell>
          <cell r="E488" t="str">
            <v>Waqar Aslam</v>
          </cell>
          <cell r="F488">
            <v>11</v>
          </cell>
          <cell r="G488" t="str">
            <v>Sub Assistant</v>
          </cell>
          <cell r="H488">
            <v>3</v>
          </cell>
          <cell r="I488">
            <v>0.78</v>
          </cell>
          <cell r="J488" t="str">
            <v>Excellent performance in all sessions.</v>
          </cell>
        </row>
        <row r="489">
          <cell r="A489" t="str">
            <v>SA-051</v>
          </cell>
          <cell r="B489" t="str">
            <v>Senior Assistant</v>
          </cell>
          <cell r="C489" t="str">
            <v>DEC Malir _ REC Karachi</v>
          </cell>
          <cell r="D489" t="e">
            <v>#REF!</v>
          </cell>
          <cell r="E489" t="str">
            <v>Mst. Rahila Sultana</v>
          </cell>
          <cell r="F489">
            <v>16</v>
          </cell>
          <cell r="G489" t="str">
            <v>Senior Assistant</v>
          </cell>
          <cell r="H489">
            <v>1</v>
          </cell>
          <cell r="I489">
            <v>0.7</v>
          </cell>
          <cell r="J489" t="str">
            <v>Satisfactory</v>
          </cell>
        </row>
        <row r="490">
          <cell r="A490" t="str">
            <v>DEO-077</v>
          </cell>
          <cell r="B490" t="str">
            <v xml:space="preserve">Data Entry Operator </v>
          </cell>
          <cell r="C490" t="str">
            <v>DEC Malir _ REC Karachi</v>
          </cell>
          <cell r="D490" t="e">
            <v>#REF!</v>
          </cell>
          <cell r="E490" t="str">
            <v>Monis Aziz</v>
          </cell>
          <cell r="F490">
            <v>15</v>
          </cell>
          <cell r="G490" t="str">
            <v xml:space="preserve">Data Entry Operator </v>
          </cell>
          <cell r="H490">
            <v>2</v>
          </cell>
          <cell r="I490">
            <v>0.8</v>
          </cell>
          <cell r="J490" t="str">
            <v>Participated actively good performance</v>
          </cell>
        </row>
        <row r="491">
          <cell r="A491" t="str">
            <v>DEO-078</v>
          </cell>
          <cell r="B491" t="str">
            <v xml:space="preserve">Data Entry Operator </v>
          </cell>
          <cell r="C491" t="str">
            <v>DEC Malir _ REC Karachi</v>
          </cell>
          <cell r="D491" t="e">
            <v>#REF!</v>
          </cell>
          <cell r="E491" t="str">
            <v>Mst. Sadaf Siddqui</v>
          </cell>
          <cell r="F491">
            <v>15</v>
          </cell>
          <cell r="G491" t="str">
            <v xml:space="preserve">Data Entry Operator </v>
          </cell>
          <cell r="H491">
            <v>3</v>
          </cell>
          <cell r="I491">
            <v>0.73</v>
          </cell>
          <cell r="J491" t="str">
            <v>Good participate she understood basic concepts of training properly participate in all activities</v>
          </cell>
        </row>
        <row r="492">
          <cell r="A492" t="str">
            <v>DEO-079</v>
          </cell>
          <cell r="B492" t="str">
            <v xml:space="preserve">Data Entry Operator </v>
          </cell>
          <cell r="C492" t="str">
            <v>DEC Malir _ REC Karachi</v>
          </cell>
          <cell r="D492" t="e">
            <v>#REF!</v>
          </cell>
          <cell r="E492" t="str">
            <v>Vacant</v>
          </cell>
          <cell r="F492">
            <v>14</v>
          </cell>
          <cell r="G492" t="str">
            <v xml:space="preserve">Data Entry Operator </v>
          </cell>
          <cell r="H492"/>
          <cell r="J492"/>
        </row>
        <row r="493">
          <cell r="A493" t="str">
            <v>JA-054</v>
          </cell>
          <cell r="B493" t="str">
            <v>Junior Assistant</v>
          </cell>
          <cell r="C493" t="str">
            <v>DEC Malir _ REC Karachi</v>
          </cell>
          <cell r="D493" t="e">
            <v>#REF!</v>
          </cell>
          <cell r="E493" t="str">
            <v>Asad Ullah Mirani</v>
          </cell>
          <cell r="F493">
            <v>13</v>
          </cell>
          <cell r="G493" t="str">
            <v>Junior Assistant</v>
          </cell>
          <cell r="H493">
            <v>3</v>
          </cell>
          <cell r="I493">
            <v>0.77</v>
          </cell>
          <cell r="J493" t="str">
            <v>Properly attended all sessions. Participated in all activities with interest.</v>
          </cell>
        </row>
        <row r="494">
          <cell r="A494" t="str">
            <v>SUB-072</v>
          </cell>
          <cell r="B494" t="str">
            <v>Sub Assistant</v>
          </cell>
          <cell r="C494" t="str">
            <v>DEC Malir _ REC Karachi</v>
          </cell>
          <cell r="D494" t="e">
            <v>#REF!</v>
          </cell>
          <cell r="E494" t="str">
            <v>Ali Raza</v>
          </cell>
          <cell r="F494">
            <v>11</v>
          </cell>
          <cell r="G494" t="str">
            <v>Sub Assistant</v>
          </cell>
          <cell r="H494">
            <v>2</v>
          </cell>
          <cell r="I494">
            <v>0.6</v>
          </cell>
          <cell r="J494" t="str">
            <v>Satisfactory</v>
          </cell>
        </row>
        <row r="495">
          <cell r="A495" t="str">
            <v>SCD-036</v>
          </cell>
          <cell r="B495" t="str">
            <v>Staff Car Driver</v>
          </cell>
          <cell r="C495" t="str">
            <v>DEC Malir _ REC Karachi</v>
          </cell>
          <cell r="D495" t="e">
            <v>#REF!</v>
          </cell>
          <cell r="E495" t="str">
            <v>Ali Rehman</v>
          </cell>
          <cell r="F495">
            <v>7</v>
          </cell>
          <cell r="G495" t="str">
            <v>Staff Car Driver</v>
          </cell>
          <cell r="H495">
            <v>2</v>
          </cell>
          <cell r="I495">
            <v>0.7</v>
          </cell>
          <cell r="J495" t="str">
            <v>The official has great potential, he particiapted well and displayed great interest and understanding of content</v>
          </cell>
        </row>
        <row r="496">
          <cell r="A496" t="str">
            <v>CH-065</v>
          </cell>
          <cell r="B496" t="str">
            <v>Chowkidar</v>
          </cell>
          <cell r="C496" t="str">
            <v>DEC Malir _ REC Karachi</v>
          </cell>
          <cell r="D496" t="e">
            <v>#REF!</v>
          </cell>
          <cell r="E496" t="str">
            <v>Shahid Hussain</v>
          </cell>
          <cell r="F496">
            <v>5</v>
          </cell>
          <cell r="G496" t="str">
            <v>Chowkidar</v>
          </cell>
          <cell r="H496">
            <v>3</v>
          </cell>
          <cell r="I496">
            <v>0.52</v>
          </cell>
          <cell r="J496" t="str">
            <v>Performance in all sessions was average. reluctant to participate in group activity &amp; play.</v>
          </cell>
        </row>
        <row r="497">
          <cell r="A497" t="str">
            <v>NQ-090</v>
          </cell>
          <cell r="B497" t="str">
            <v>Naib Quasid</v>
          </cell>
          <cell r="C497" t="str">
            <v>DEC Malir _ REC Karachi</v>
          </cell>
          <cell r="D497" t="e">
            <v>#REF!</v>
          </cell>
          <cell r="E497" t="str">
            <v>Asad Ali Khan</v>
          </cell>
          <cell r="F497">
            <v>4</v>
          </cell>
          <cell r="G497" t="str">
            <v>Naib Quasid</v>
          </cell>
          <cell r="H497">
            <v>1</v>
          </cell>
          <cell r="I497">
            <v>0.6</v>
          </cell>
          <cell r="J497" t="str">
            <v xml:space="preserve">The official was under-confident however, his performance was satisfactory
</v>
          </cell>
        </row>
        <row r="498">
          <cell r="A498" t="str">
            <v>NQ-091</v>
          </cell>
          <cell r="B498" t="str">
            <v>Naib Quasid</v>
          </cell>
          <cell r="C498" t="str">
            <v>DEC Malir _ REC Karachi</v>
          </cell>
          <cell r="D498" t="e">
            <v>#REF!</v>
          </cell>
          <cell r="E498" t="str">
            <v>Noman Ali Tunio</v>
          </cell>
          <cell r="F498">
            <v>2</v>
          </cell>
          <cell r="G498" t="str">
            <v>Naib Quasid</v>
          </cell>
          <cell r="H498">
            <v>2</v>
          </cell>
          <cell r="I498">
            <v>0.6</v>
          </cell>
          <cell r="J498" t="str">
            <v>Satisfactory</v>
          </cell>
        </row>
        <row r="499">
          <cell r="A499" t="str">
            <v>SA-052</v>
          </cell>
          <cell r="B499" t="str">
            <v>Senior Assistant</v>
          </cell>
          <cell r="C499" t="str">
            <v>DEC Korangi _ REC Karachi</v>
          </cell>
          <cell r="D499" t="e">
            <v>#REF!</v>
          </cell>
          <cell r="E499" t="str">
            <v>Syed Hasnain Zaidi</v>
          </cell>
          <cell r="F499">
            <v>16</v>
          </cell>
          <cell r="G499" t="str">
            <v>Senior Assistant</v>
          </cell>
          <cell r="H499"/>
          <cell r="J499"/>
        </row>
        <row r="500">
          <cell r="A500" t="str">
            <v>DEO-080</v>
          </cell>
          <cell r="B500" t="str">
            <v xml:space="preserve">Data Entry Operator </v>
          </cell>
          <cell r="C500" t="str">
            <v>DEC Korangi _ REC Karachi</v>
          </cell>
          <cell r="D500" t="e">
            <v>#REF!</v>
          </cell>
          <cell r="E500" t="str">
            <v>Ghazanfar Gul</v>
          </cell>
          <cell r="F500">
            <v>15</v>
          </cell>
          <cell r="G500" t="str">
            <v xml:space="preserve">Data Entry Operator </v>
          </cell>
          <cell r="H500">
            <v>1</v>
          </cell>
          <cell r="I500">
            <v>0.7</v>
          </cell>
          <cell r="J500" t="str">
            <v>Active Participation</v>
          </cell>
        </row>
        <row r="501">
          <cell r="A501" t="str">
            <v>DEO-081</v>
          </cell>
          <cell r="B501" t="str">
            <v xml:space="preserve">Data Entry Operator </v>
          </cell>
          <cell r="C501" t="str">
            <v>DEC Korangi _ REC Karachi</v>
          </cell>
          <cell r="D501" t="e">
            <v>#REF!</v>
          </cell>
          <cell r="E501" t="str">
            <v>Arshad Ali</v>
          </cell>
          <cell r="F501">
            <v>14</v>
          </cell>
          <cell r="G501" t="str">
            <v xml:space="preserve">Data Entry Operator </v>
          </cell>
          <cell r="H501">
            <v>3</v>
          </cell>
          <cell r="I501">
            <v>0.85</v>
          </cell>
          <cell r="J501" t="str">
            <v>Excellent participation in all sessions. Basic concepts were already cleared. He also took very good interest in discussions with trainer. played an excellent role in group play.</v>
          </cell>
        </row>
        <row r="502">
          <cell r="A502" t="str">
            <v>DEO-082</v>
          </cell>
          <cell r="B502" t="str">
            <v xml:space="preserve">Data Entry Operator </v>
          </cell>
          <cell r="C502" t="str">
            <v>DEC Korangi _ REC Karachi</v>
          </cell>
          <cell r="D502" t="e">
            <v>#REF!</v>
          </cell>
          <cell r="E502" t="str">
            <v>Vacant</v>
          </cell>
          <cell r="F502">
            <v>14</v>
          </cell>
          <cell r="G502" t="str">
            <v xml:space="preserve">Data Entry Operator </v>
          </cell>
          <cell r="H502"/>
          <cell r="J502"/>
        </row>
        <row r="503">
          <cell r="A503" t="str">
            <v>JA-055</v>
          </cell>
          <cell r="B503" t="str">
            <v>Junior Assistant</v>
          </cell>
          <cell r="C503" t="str">
            <v>DEC Korangi _ REC Karachi</v>
          </cell>
          <cell r="D503" t="e">
            <v>#REF!</v>
          </cell>
          <cell r="E503" t="str">
            <v>Muhammad Javed</v>
          </cell>
          <cell r="F503">
            <v>13</v>
          </cell>
          <cell r="G503" t="str">
            <v>Junior Assistant</v>
          </cell>
          <cell r="H503">
            <v>2</v>
          </cell>
          <cell r="I503">
            <v>0.6</v>
          </cell>
          <cell r="J503" t="str">
            <v>Satisfactory</v>
          </cell>
        </row>
        <row r="504">
          <cell r="A504" t="str">
            <v>SUB-073</v>
          </cell>
          <cell r="B504" t="str">
            <v>Sub Assistant</v>
          </cell>
          <cell r="C504" t="str">
            <v>DEC Korangi _ REC Karachi</v>
          </cell>
          <cell r="D504" t="e">
            <v>#REF!</v>
          </cell>
          <cell r="E504" t="str">
            <v xml:space="preserve">Naqqash Javed </v>
          </cell>
          <cell r="F504">
            <v>11</v>
          </cell>
          <cell r="G504" t="str">
            <v>Sub Assistant</v>
          </cell>
          <cell r="H504">
            <v>2</v>
          </cell>
          <cell r="I504">
            <v>0.7</v>
          </cell>
          <cell r="J504" t="str">
            <v>Satisfactory</v>
          </cell>
        </row>
        <row r="505">
          <cell r="A505" t="str">
            <v>SUB-074</v>
          </cell>
          <cell r="B505" t="str">
            <v>Sub Assistant</v>
          </cell>
          <cell r="C505" t="str">
            <v>DEC Korangi _ REC Karachi</v>
          </cell>
          <cell r="D505" t="e">
            <v>#REF!</v>
          </cell>
          <cell r="E505" t="str">
            <v>Zakir Ali</v>
          </cell>
          <cell r="F505">
            <v>11</v>
          </cell>
          <cell r="G505" t="str">
            <v>Sub Assistant</v>
          </cell>
          <cell r="H505">
            <v>3</v>
          </cell>
          <cell r="I505">
            <v>0.57999999999999996</v>
          </cell>
          <cell r="J505" t="str">
            <v>Performance was average. However he attentivly listened lecture of trainer</v>
          </cell>
        </row>
        <row r="506">
          <cell r="A506" t="str">
            <v>SCD-037</v>
          </cell>
          <cell r="B506" t="str">
            <v>Staff Car Driver</v>
          </cell>
          <cell r="C506" t="str">
            <v>DEC Korangi _ REC Karachi</v>
          </cell>
          <cell r="D506" t="e">
            <v>#REF!</v>
          </cell>
          <cell r="E506" t="str">
            <v>Muhammad Bilal</v>
          </cell>
          <cell r="F506">
            <v>7</v>
          </cell>
          <cell r="G506" t="str">
            <v>Staff Car Driver</v>
          </cell>
          <cell r="H506">
            <v>1</v>
          </cell>
          <cell r="I506">
            <v>0.7</v>
          </cell>
          <cell r="J506" t="str">
            <v>Actively Participate</v>
          </cell>
        </row>
        <row r="507">
          <cell r="A507" t="str">
            <v>CH-066</v>
          </cell>
          <cell r="B507" t="str">
            <v>Chowkidar</v>
          </cell>
          <cell r="C507" t="str">
            <v>DEC Korangi _ REC Karachi</v>
          </cell>
          <cell r="D507" t="e">
            <v>#REF!</v>
          </cell>
          <cell r="E507" t="str">
            <v xml:space="preserve">Nazeer </v>
          </cell>
          <cell r="F507">
            <v>4</v>
          </cell>
          <cell r="G507" t="str">
            <v>Chowkidar</v>
          </cell>
          <cell r="H507">
            <v>1</v>
          </cell>
          <cell r="I507">
            <v>0.5</v>
          </cell>
          <cell r="J507" t="str">
            <v>May require further training</v>
          </cell>
        </row>
        <row r="508">
          <cell r="A508" t="str">
            <v>NQ-092</v>
          </cell>
          <cell r="B508" t="str">
            <v>Naib Quasid</v>
          </cell>
          <cell r="C508" t="str">
            <v>DEC Korangi _ REC Karachi</v>
          </cell>
          <cell r="D508" t="e">
            <v>#REF!</v>
          </cell>
          <cell r="E508" t="str">
            <v xml:space="preserve">Muhammad Asif </v>
          </cell>
          <cell r="F508">
            <v>4</v>
          </cell>
          <cell r="G508" t="str">
            <v>Naib Quasid</v>
          </cell>
          <cell r="H508">
            <v>3</v>
          </cell>
          <cell r="I508">
            <v>0.6</v>
          </cell>
          <cell r="J508" t="str">
            <v>Participated with attention. However performance in group activity was not good.</v>
          </cell>
        </row>
        <row r="509">
          <cell r="A509" t="str">
            <v>NQ-093</v>
          </cell>
          <cell r="B509" t="str">
            <v>Naib Quasid</v>
          </cell>
          <cell r="C509" t="str">
            <v>DEC Korangi _ REC Karachi</v>
          </cell>
          <cell r="D509" t="e">
            <v>#REF!</v>
          </cell>
          <cell r="E509" t="str">
            <v>Muhammad Azeem</v>
          </cell>
          <cell r="F509">
            <v>4</v>
          </cell>
          <cell r="G509" t="str">
            <v>Naib Quasid</v>
          </cell>
          <cell r="H509">
            <v>1</v>
          </cell>
          <cell r="I509">
            <v>0.7</v>
          </cell>
          <cell r="J509" t="str">
            <v>Satisfactory</v>
          </cell>
        </row>
        <row r="510">
          <cell r="A510" t="str">
            <v>DEO-083</v>
          </cell>
          <cell r="B510" t="str">
            <v xml:space="preserve">Data Entry Operator </v>
          </cell>
          <cell r="C510" t="str">
            <v>DEC Karachi Central _ REC Karachi</v>
          </cell>
          <cell r="D510" t="e">
            <v>#REF!</v>
          </cell>
          <cell r="E510" t="str">
            <v>Muhammad Faraz Shaikh</v>
          </cell>
          <cell r="F510">
            <v>15</v>
          </cell>
          <cell r="G510" t="str">
            <v xml:space="preserve">Data Entry Operator </v>
          </cell>
          <cell r="H510">
            <v>1</v>
          </cell>
          <cell r="I510">
            <v>0.7</v>
          </cell>
          <cell r="J510" t="str">
            <v>Actively Participated</v>
          </cell>
        </row>
        <row r="511">
          <cell r="A511" t="str">
            <v>SA-053</v>
          </cell>
          <cell r="B511" t="str">
            <v>Senior Assistant</v>
          </cell>
          <cell r="C511" t="str">
            <v>DEC Karachi Central _ REC Karachi</v>
          </cell>
          <cell r="D511" t="e">
            <v>#REF!</v>
          </cell>
          <cell r="E511" t="str">
            <v>Abdul Rehman</v>
          </cell>
          <cell r="F511">
            <v>15</v>
          </cell>
          <cell r="G511" t="str">
            <v>Senior Assistant</v>
          </cell>
          <cell r="H511">
            <v>3</v>
          </cell>
          <cell r="I511">
            <v>0.7</v>
          </cell>
          <cell r="J511" t="str">
            <v xml:space="preserve">Good performance in all sessions. Good understanding of concepts </v>
          </cell>
        </row>
        <row r="512">
          <cell r="A512" t="str">
            <v>DEO-084</v>
          </cell>
          <cell r="B512" t="str">
            <v xml:space="preserve">Data Entry Operator </v>
          </cell>
          <cell r="C512" t="str">
            <v>DEC Mirpurkhas _ REC Mirpurkhas</v>
          </cell>
          <cell r="D512" t="e">
            <v>#REF!</v>
          </cell>
          <cell r="E512" t="str">
            <v>Asif Khan</v>
          </cell>
          <cell r="F512">
            <v>14</v>
          </cell>
          <cell r="G512" t="str">
            <v xml:space="preserve">Data Entry Operator </v>
          </cell>
          <cell r="H512">
            <v>2</v>
          </cell>
          <cell r="I512">
            <v>0.6</v>
          </cell>
          <cell r="J512" t="str">
            <v>Satisfactory</v>
          </cell>
        </row>
        <row r="513">
          <cell r="A513" t="str">
            <v>DEO-085</v>
          </cell>
          <cell r="B513" t="str">
            <v xml:space="preserve">Data Entry Operator </v>
          </cell>
          <cell r="C513" t="str">
            <v>DEC Karachi Central _ REC Karachi</v>
          </cell>
          <cell r="D513" t="e">
            <v>#REF!</v>
          </cell>
          <cell r="E513" t="str">
            <v>Vacant</v>
          </cell>
          <cell r="F513">
            <v>14</v>
          </cell>
          <cell r="G513" t="str">
            <v xml:space="preserve">Data Entry Operator </v>
          </cell>
          <cell r="H513"/>
          <cell r="J513"/>
        </row>
        <row r="514">
          <cell r="A514" t="str">
            <v>DEO-086</v>
          </cell>
          <cell r="B514" t="str">
            <v xml:space="preserve">Data Entry Operator </v>
          </cell>
          <cell r="C514" t="str">
            <v>DEC Karachi Central _ REC Karachi</v>
          </cell>
          <cell r="D514" t="e">
            <v>#REF!</v>
          </cell>
          <cell r="E514" t="str">
            <v>Naeem Ullah</v>
          </cell>
          <cell r="F514">
            <v>14</v>
          </cell>
          <cell r="G514" t="str">
            <v xml:space="preserve">Data Entry Operator </v>
          </cell>
          <cell r="H514">
            <v>3</v>
          </cell>
          <cell r="I514">
            <v>0.53</v>
          </cell>
          <cell r="J514" t="str">
            <v>Performance in all sessions was satisfactory.</v>
          </cell>
        </row>
        <row r="515">
          <cell r="A515" t="str">
            <v>JA-056</v>
          </cell>
          <cell r="B515" t="str">
            <v>Junior Assistant</v>
          </cell>
          <cell r="C515" t="str">
            <v>DEC Karachi Central _ REC Karachi</v>
          </cell>
          <cell r="D515" t="e">
            <v>#REF!</v>
          </cell>
          <cell r="E515" t="str">
            <v>Vacant</v>
          </cell>
          <cell r="F515">
            <v>13</v>
          </cell>
          <cell r="G515" t="str">
            <v>Junior Assistant</v>
          </cell>
          <cell r="H515"/>
          <cell r="J515"/>
        </row>
        <row r="516">
          <cell r="A516" t="str">
            <v>SUB-075</v>
          </cell>
          <cell r="B516" t="str">
            <v>Sub Assistant</v>
          </cell>
          <cell r="C516" t="str">
            <v>DEC Karachi Central _ REC Karachi</v>
          </cell>
          <cell r="D516" t="e">
            <v>#REF!</v>
          </cell>
          <cell r="E516" t="str">
            <v>Aqib Ali</v>
          </cell>
          <cell r="F516">
            <v>11</v>
          </cell>
          <cell r="G516" t="str">
            <v>Sub Assistant</v>
          </cell>
          <cell r="H516">
            <v>3</v>
          </cell>
          <cell r="I516">
            <v>0.73</v>
          </cell>
          <cell r="J516" t="str">
            <v>Took good interest in all sessions. Participation in all activities was also excellent.</v>
          </cell>
        </row>
        <row r="517">
          <cell r="A517" t="str">
            <v>SUB-076</v>
          </cell>
          <cell r="B517" t="str">
            <v>Sub Assistant</v>
          </cell>
          <cell r="C517" t="str">
            <v>DEC Karachi Central _ REC Karachi</v>
          </cell>
          <cell r="D517" t="e">
            <v>#REF!</v>
          </cell>
          <cell r="E517" t="str">
            <v>Ahsan</v>
          </cell>
          <cell r="F517">
            <v>11</v>
          </cell>
          <cell r="G517" t="str">
            <v>Sub Assistant</v>
          </cell>
          <cell r="H517">
            <v>2</v>
          </cell>
          <cell r="I517">
            <v>0.6</v>
          </cell>
          <cell r="J517" t="str">
            <v>Satisfactory</v>
          </cell>
        </row>
        <row r="518">
          <cell r="A518" t="str">
            <v>SCD-038</v>
          </cell>
          <cell r="B518" t="str">
            <v>Staff Car Driver</v>
          </cell>
          <cell r="C518" t="str">
            <v>DEC Karachi Central _ REC Karachi</v>
          </cell>
          <cell r="D518" t="e">
            <v>#REF!</v>
          </cell>
          <cell r="E518" t="str">
            <v>Abdul Rehan</v>
          </cell>
          <cell r="F518">
            <v>7</v>
          </cell>
          <cell r="G518" t="str">
            <v>Staff Car Driver</v>
          </cell>
          <cell r="H518"/>
          <cell r="J518"/>
        </row>
        <row r="519">
          <cell r="A519" t="str">
            <v>NQ-094</v>
          </cell>
          <cell r="B519" t="str">
            <v>Naib Quasid</v>
          </cell>
          <cell r="C519" t="str">
            <v>DEC Karachi Central _ REC Karachi</v>
          </cell>
          <cell r="D519" t="e">
            <v>#REF!</v>
          </cell>
          <cell r="E519" t="str">
            <v xml:space="preserve">Ashiq Hussain </v>
          </cell>
          <cell r="F519">
            <v>5</v>
          </cell>
          <cell r="G519" t="str">
            <v>Naib Quasid</v>
          </cell>
          <cell r="H519">
            <v>2</v>
          </cell>
          <cell r="I519">
            <v>0.5</v>
          </cell>
          <cell r="J519" t="str">
            <v>Satisfactory</v>
          </cell>
        </row>
        <row r="520">
          <cell r="A520" t="str">
            <v>CH-067</v>
          </cell>
          <cell r="B520" t="str">
            <v>Chowkidar</v>
          </cell>
          <cell r="C520" t="str">
            <v>DEC Karachi Central _ REC Karachi</v>
          </cell>
          <cell r="D520" t="e">
            <v>#REF!</v>
          </cell>
          <cell r="E520" t="str">
            <v>Nadir Ali</v>
          </cell>
          <cell r="F520">
            <v>4</v>
          </cell>
          <cell r="G520" t="str">
            <v>Chowkidar</v>
          </cell>
          <cell r="H520">
            <v>3</v>
          </cell>
          <cell r="I520">
            <v>0.65</v>
          </cell>
          <cell r="J520" t="str">
            <v xml:space="preserve">Participated with interest &amp; was able to understand concepts </v>
          </cell>
        </row>
        <row r="521">
          <cell r="A521" t="str">
            <v>CH-068</v>
          </cell>
          <cell r="B521" t="str">
            <v>Chowkidar</v>
          </cell>
          <cell r="C521" t="str">
            <v>DEC Karachi Central _ REC Karachi</v>
          </cell>
          <cell r="D521" t="e">
            <v>#REF!</v>
          </cell>
          <cell r="E521" t="str">
            <v>Asif Ali Razvi (Extra Staff Central)</v>
          </cell>
          <cell r="F521">
            <v>4</v>
          </cell>
          <cell r="G521" t="str">
            <v>Chowkidar</v>
          </cell>
          <cell r="H521">
            <v>2</v>
          </cell>
          <cell r="I521">
            <v>0.5</v>
          </cell>
          <cell r="J521" t="str">
            <v>May require further training</v>
          </cell>
        </row>
        <row r="522">
          <cell r="A522" t="str">
            <v>NQ-095</v>
          </cell>
          <cell r="B522" t="str">
            <v>Naib Quasid</v>
          </cell>
          <cell r="C522" t="str">
            <v>DEC Karachi Central _ REC Karachi</v>
          </cell>
          <cell r="D522" t="e">
            <v>#REF!</v>
          </cell>
          <cell r="E522" t="str">
            <v>Muhammad Waqas</v>
          </cell>
          <cell r="F522">
            <v>4</v>
          </cell>
          <cell r="G522" t="str">
            <v>Naib Quasid</v>
          </cell>
          <cell r="H522">
            <v>1</v>
          </cell>
          <cell r="I522">
            <v>0.6</v>
          </cell>
          <cell r="J522" t="str">
            <v>Satisfactory</v>
          </cell>
        </row>
        <row r="523">
          <cell r="A523" t="str">
            <v>SA-054</v>
          </cell>
          <cell r="B523" t="str">
            <v>Senior Assistant</v>
          </cell>
          <cell r="C523" t="str">
            <v>DEC Karachi East _ REC Karachi</v>
          </cell>
          <cell r="D523" t="e">
            <v>#REF!</v>
          </cell>
          <cell r="E523" t="str">
            <v>Haider Iqbal</v>
          </cell>
          <cell r="F523">
            <v>16</v>
          </cell>
          <cell r="G523" t="str">
            <v>Senior Assistant</v>
          </cell>
          <cell r="H523">
            <v>1</v>
          </cell>
          <cell r="I523">
            <v>0.7</v>
          </cell>
          <cell r="J523" t="str">
            <v>Satisfactory</v>
          </cell>
        </row>
        <row r="524">
          <cell r="A524" t="str">
            <v>DEO-087</v>
          </cell>
          <cell r="B524" t="str">
            <v xml:space="preserve">Data Entry Operator </v>
          </cell>
          <cell r="C524" t="str">
            <v>DEC Karachi East _ REC Karachi</v>
          </cell>
          <cell r="D524" t="e">
            <v>#REF!</v>
          </cell>
          <cell r="E524" t="str">
            <v>Muhammad Dilshad Ahmed</v>
          </cell>
          <cell r="F524">
            <v>15</v>
          </cell>
          <cell r="G524" t="str">
            <v xml:space="preserve">Data Entry Operator </v>
          </cell>
          <cell r="H524">
            <v>3</v>
          </cell>
          <cell r="I524">
            <v>0.8</v>
          </cell>
          <cell r="J524" t="str">
            <v>Listened lecture by trainers with interest &amp; actively participated in group discessions presentation as well as in play .</v>
          </cell>
        </row>
        <row r="525">
          <cell r="A525" t="str">
            <v>DEO-088</v>
          </cell>
          <cell r="B525" t="str">
            <v xml:space="preserve">Data Entry Operator </v>
          </cell>
          <cell r="C525" t="str">
            <v>DEC Karachi East _ REC Karachi</v>
          </cell>
          <cell r="D525" t="e">
            <v>#REF!</v>
          </cell>
          <cell r="E525" t="str">
            <v>Raja Hulio</v>
          </cell>
          <cell r="F525">
            <v>14</v>
          </cell>
          <cell r="G525" t="str">
            <v xml:space="preserve">Data Entry Operator </v>
          </cell>
          <cell r="H525">
            <v>2</v>
          </cell>
          <cell r="I525">
            <v>0.7</v>
          </cell>
          <cell r="J525" t="str">
            <v>Actively Particiapted</v>
          </cell>
        </row>
        <row r="526">
          <cell r="A526" t="str">
            <v>DEO-089</v>
          </cell>
          <cell r="B526" t="str">
            <v xml:space="preserve">Data Entry Operator </v>
          </cell>
          <cell r="C526" t="str">
            <v>DEC Karachi East _ REC Karachi</v>
          </cell>
          <cell r="D526" t="e">
            <v>#REF!</v>
          </cell>
          <cell r="E526" t="str">
            <v>Imran Ali S/o Mohsin Ali</v>
          </cell>
          <cell r="F526">
            <v>14</v>
          </cell>
          <cell r="G526" t="str">
            <v xml:space="preserve">Data Entry Operator </v>
          </cell>
          <cell r="H526">
            <v>2</v>
          </cell>
          <cell r="I526">
            <v>0.6</v>
          </cell>
          <cell r="J526" t="str">
            <v>Satisfactory</v>
          </cell>
        </row>
        <row r="527">
          <cell r="A527" t="str">
            <v>DEO-090</v>
          </cell>
          <cell r="B527" t="str">
            <v xml:space="preserve">Data Entry Operator </v>
          </cell>
          <cell r="C527" t="str">
            <v>DEC Karachi East _ REC Karachi</v>
          </cell>
          <cell r="D527" t="e">
            <v>#REF!</v>
          </cell>
          <cell r="E527" t="str">
            <v>Vacant</v>
          </cell>
          <cell r="F527">
            <v>14</v>
          </cell>
          <cell r="G527" t="str">
            <v xml:space="preserve">Data Entry Operator </v>
          </cell>
          <cell r="H527"/>
          <cell r="J527"/>
        </row>
        <row r="528">
          <cell r="A528" t="str">
            <v>JA-057</v>
          </cell>
          <cell r="B528" t="str">
            <v>Junior Assistant</v>
          </cell>
          <cell r="C528" t="str">
            <v>DEC Karachi East _ REC Karachi</v>
          </cell>
          <cell r="D528" t="e">
            <v>#REF!</v>
          </cell>
          <cell r="E528" t="str">
            <v>Abdul Salam</v>
          </cell>
          <cell r="F528">
            <v>13</v>
          </cell>
          <cell r="G528" t="str">
            <v>Junior Assistant</v>
          </cell>
          <cell r="H528">
            <v>3</v>
          </cell>
          <cell r="I528">
            <v>0.67</v>
          </cell>
          <cell r="J528" t="str">
            <v>Properly listened to lectures with interest and participated in all activities.</v>
          </cell>
        </row>
        <row r="529">
          <cell r="A529" t="str">
            <v>SUB-077</v>
          </cell>
          <cell r="B529" t="str">
            <v>Sub Assistant</v>
          </cell>
          <cell r="C529" t="str">
            <v>DEC Karachi East _ REC Karachi</v>
          </cell>
          <cell r="D529" t="e">
            <v>#REF!</v>
          </cell>
          <cell r="E529" t="str">
            <v>Azad Ali</v>
          </cell>
          <cell r="F529">
            <v>11</v>
          </cell>
          <cell r="G529" t="str">
            <v>Sub Assistant</v>
          </cell>
          <cell r="H529">
            <v>1</v>
          </cell>
          <cell r="I529">
            <v>0.6</v>
          </cell>
          <cell r="J529" t="str">
            <v>Satisfactory</v>
          </cell>
        </row>
        <row r="530">
          <cell r="A530" t="str">
            <v>SUB-078</v>
          </cell>
          <cell r="B530" t="str">
            <v>Sub Assistant</v>
          </cell>
          <cell r="C530" t="str">
            <v>DEC Karachi East _ REC Karachi</v>
          </cell>
          <cell r="D530" t="e">
            <v>#REF!</v>
          </cell>
          <cell r="E530" t="str">
            <v>Syed Fahad Bukhari</v>
          </cell>
          <cell r="F530">
            <v>11</v>
          </cell>
          <cell r="G530" t="str">
            <v>Sub Assistant</v>
          </cell>
          <cell r="H530">
            <v>2</v>
          </cell>
          <cell r="I530">
            <v>0.6</v>
          </cell>
          <cell r="J530" t="str">
            <v>Satisfactory</v>
          </cell>
        </row>
        <row r="531">
          <cell r="A531" t="str">
            <v>SCD-039</v>
          </cell>
          <cell r="B531" t="str">
            <v>Staff Car Driver</v>
          </cell>
          <cell r="C531" t="str">
            <v>DEC Karachi East _ REC Karachi</v>
          </cell>
          <cell r="D531" t="e">
            <v>#REF!</v>
          </cell>
          <cell r="E531" t="str">
            <v>Aqib Javed</v>
          </cell>
          <cell r="F531">
            <v>7</v>
          </cell>
          <cell r="G531" t="str">
            <v>Staff Car Driver</v>
          </cell>
          <cell r="H531">
            <v>1</v>
          </cell>
          <cell r="I531">
            <v>0.8</v>
          </cell>
          <cell r="J531" t="str">
            <v>Excelent expectation.</v>
          </cell>
        </row>
        <row r="532">
          <cell r="A532" t="str">
            <v>NQ-096</v>
          </cell>
          <cell r="B532" t="str">
            <v>Naib Quasid</v>
          </cell>
          <cell r="C532" t="str">
            <v>DEC Karachi East _ REC Karachi</v>
          </cell>
          <cell r="D532" t="e">
            <v>#REF!</v>
          </cell>
          <cell r="E532" t="str">
            <v>Muhammad Kashif</v>
          </cell>
          <cell r="F532">
            <v>5</v>
          </cell>
          <cell r="G532" t="str">
            <v>Naib Quasid</v>
          </cell>
          <cell r="H532">
            <v>1</v>
          </cell>
          <cell r="I532">
            <v>0.6</v>
          </cell>
          <cell r="J532" t="str">
            <v>Satisfactory</v>
          </cell>
        </row>
        <row r="533">
          <cell r="A533" t="str">
            <v>NQ-097</v>
          </cell>
          <cell r="B533" t="str">
            <v>Naib Quasid</v>
          </cell>
          <cell r="C533" t="str">
            <v>DEC Karachi East _ REC Karachi</v>
          </cell>
          <cell r="D533" t="e">
            <v>#REF!</v>
          </cell>
          <cell r="E533" t="str">
            <v>Sikander Ali</v>
          </cell>
          <cell r="F533">
            <v>5</v>
          </cell>
          <cell r="G533" t="str">
            <v>Naib Quasid</v>
          </cell>
          <cell r="H533">
            <v>3</v>
          </cell>
          <cell r="I533">
            <v>0.3</v>
          </cell>
          <cell r="J533" t="str">
            <v>Despite proper training he was unable to understand basic concepts not able to participate is group discussion</v>
          </cell>
        </row>
        <row r="534">
          <cell r="A534" t="str">
            <v>CH-069</v>
          </cell>
          <cell r="B534" t="str">
            <v>Chowkidar</v>
          </cell>
          <cell r="C534" t="str">
            <v>DEC Karachi East _ REC Karachi</v>
          </cell>
          <cell r="D534" t="e">
            <v>#REF!</v>
          </cell>
          <cell r="E534" t="str">
            <v>Rizwan</v>
          </cell>
          <cell r="F534">
            <v>4</v>
          </cell>
          <cell r="G534" t="str">
            <v>Chowkidar</v>
          </cell>
          <cell r="H534">
            <v>2</v>
          </cell>
          <cell r="I534">
            <v>0.6</v>
          </cell>
          <cell r="J534" t="str">
            <v>Satisfactory</v>
          </cell>
        </row>
        <row r="535">
          <cell r="A535" t="str">
            <v>CH-074</v>
          </cell>
          <cell r="B535" t="str">
            <v>Chowkidar</v>
          </cell>
          <cell r="C535" t="str">
            <v>DEC Karachi East _ REC Karachi</v>
          </cell>
          <cell r="D535" t="e">
            <v>#REF!</v>
          </cell>
          <cell r="E535" t="str">
            <v>Naveed Ahmed Qureshi (Extra staff)</v>
          </cell>
          <cell r="F535">
            <v>4</v>
          </cell>
          <cell r="G535" t="str">
            <v>Chowkidar</v>
          </cell>
          <cell r="H535"/>
          <cell r="J535"/>
        </row>
        <row r="536">
          <cell r="A536" t="str">
            <v>DEO-031</v>
          </cell>
          <cell r="B536" t="str">
            <v xml:space="preserve">Data Entry Operator </v>
          </cell>
          <cell r="C536" t="str">
            <v>DEC Karachi West _ REC Karachi</v>
          </cell>
          <cell r="D536" t="e">
            <v>#REF!</v>
          </cell>
          <cell r="E536" t="str">
            <v>Abdullah Bhutto</v>
          </cell>
          <cell r="F536">
            <v>15</v>
          </cell>
          <cell r="G536" t="str">
            <v xml:space="preserve">Data Entry Operator </v>
          </cell>
          <cell r="H536"/>
          <cell r="J536"/>
        </row>
        <row r="537">
          <cell r="A537" t="str">
            <v>SUB-064</v>
          </cell>
          <cell r="B537" t="str">
            <v>Sub Assistant</v>
          </cell>
          <cell r="C537" t="str">
            <v>DEC Karachi West _ REC Karachi</v>
          </cell>
          <cell r="D537" t="e">
            <v>#REF!</v>
          </cell>
          <cell r="E537" t="str">
            <v>Vacant</v>
          </cell>
          <cell r="F537">
            <v>11</v>
          </cell>
          <cell r="G537" t="str">
            <v>Sub Assistant</v>
          </cell>
          <cell r="H537"/>
          <cell r="J537"/>
        </row>
        <row r="538">
          <cell r="A538" t="str">
            <v>DEO-091</v>
          </cell>
          <cell r="B538" t="str">
            <v xml:space="preserve">Data Entry Operator </v>
          </cell>
          <cell r="C538" t="str">
            <v>DEC Larkana  _ REC Larkana</v>
          </cell>
          <cell r="D538" t="e">
            <v>#REF!</v>
          </cell>
          <cell r="E538" t="str">
            <v>Waqar Ahmed</v>
          </cell>
          <cell r="F538">
            <v>15</v>
          </cell>
          <cell r="G538" t="str">
            <v xml:space="preserve">Data Entry Operator </v>
          </cell>
          <cell r="H538">
            <v>3</v>
          </cell>
          <cell r="I538">
            <v>0.5</v>
          </cell>
          <cell r="J538" t="str">
            <v>He discussed such issues with trainers as well as with participants with interest. However, he mixed up office decorum with harassment and workplace.</v>
          </cell>
        </row>
        <row r="539">
          <cell r="A539" t="str">
            <v>SA-055</v>
          </cell>
          <cell r="B539" t="str">
            <v>Senior Assistant</v>
          </cell>
          <cell r="C539" t="str">
            <v>DEC Karachi West _ REC Karachi</v>
          </cell>
          <cell r="D539" t="e">
            <v>#REF!</v>
          </cell>
          <cell r="E539" t="str">
            <v>Aquib Ali</v>
          </cell>
          <cell r="F539">
            <v>16</v>
          </cell>
          <cell r="G539" t="str">
            <v>Senior Assistant</v>
          </cell>
          <cell r="H539">
            <v>1</v>
          </cell>
          <cell r="I539">
            <v>0.7</v>
          </cell>
          <cell r="J539" t="str">
            <v>Satisfactory</v>
          </cell>
        </row>
        <row r="540">
          <cell r="A540" t="str">
            <v>DEO-093</v>
          </cell>
          <cell r="B540" t="str">
            <v xml:space="preserve">Data Entry Operator </v>
          </cell>
          <cell r="C540" t="str">
            <v>DEC Karachi West _ REC Karachi</v>
          </cell>
          <cell r="D540" t="e">
            <v>#REF!</v>
          </cell>
          <cell r="E540" t="str">
            <v>Shoaib Ahmed</v>
          </cell>
          <cell r="F540">
            <v>14</v>
          </cell>
          <cell r="G540" t="str">
            <v xml:space="preserve">Data Entry Operator </v>
          </cell>
          <cell r="H540">
            <v>1</v>
          </cell>
          <cell r="I540">
            <v>0.6</v>
          </cell>
          <cell r="J540" t="str">
            <v>Satisfactory</v>
          </cell>
        </row>
        <row r="541">
          <cell r="A541" t="str">
            <v>JA-058</v>
          </cell>
          <cell r="B541" t="str">
            <v>Junior Assistant</v>
          </cell>
          <cell r="C541" t="str">
            <v>DEC Karachi West _ REC Karachi</v>
          </cell>
          <cell r="D541" t="e">
            <v>#REF!</v>
          </cell>
          <cell r="E541" t="str">
            <v>Syed Salman Shah</v>
          </cell>
          <cell r="F541">
            <v>13</v>
          </cell>
          <cell r="G541" t="str">
            <v>Junior Assistant</v>
          </cell>
          <cell r="H541"/>
          <cell r="J541"/>
        </row>
        <row r="542">
          <cell r="A542" t="str">
            <v>SUB-079</v>
          </cell>
          <cell r="B542" t="str">
            <v>Sub Assistant</v>
          </cell>
          <cell r="C542" t="str">
            <v>DEC Karachi West _ REC Karachi</v>
          </cell>
          <cell r="D542" t="e">
            <v>#REF!</v>
          </cell>
          <cell r="E542" t="str">
            <v>Muhammad Salman</v>
          </cell>
          <cell r="F542">
            <v>11</v>
          </cell>
          <cell r="G542" t="str">
            <v>Sub Assistant</v>
          </cell>
          <cell r="H542">
            <v>2</v>
          </cell>
          <cell r="I542">
            <v>0.7</v>
          </cell>
          <cell r="J542" t="str">
            <v>Performance well</v>
          </cell>
        </row>
        <row r="543">
          <cell r="A543" t="str">
            <v>SCD-040</v>
          </cell>
          <cell r="B543" t="str">
            <v>Staff Car Driver</v>
          </cell>
          <cell r="C543" t="str">
            <v>DEC Karachi West _ REC Karachi</v>
          </cell>
          <cell r="D543" t="e">
            <v>#REF!</v>
          </cell>
          <cell r="E543" t="str">
            <v>Asghar Ali</v>
          </cell>
          <cell r="F543">
            <v>7</v>
          </cell>
          <cell r="G543" t="str">
            <v>Staff Car Driver</v>
          </cell>
          <cell r="H543"/>
          <cell r="J543"/>
        </row>
        <row r="544">
          <cell r="A544" t="str">
            <v>CH-070</v>
          </cell>
          <cell r="B544" t="str">
            <v>Chowkidar</v>
          </cell>
          <cell r="C544" t="str">
            <v>DEC Karachi West _ REC Karachi</v>
          </cell>
          <cell r="D544" t="e">
            <v>#REF!</v>
          </cell>
          <cell r="E544" t="str">
            <v>Muhammad Haroon</v>
          </cell>
          <cell r="F544">
            <v>5</v>
          </cell>
          <cell r="G544" t="str">
            <v>Chowkidar</v>
          </cell>
          <cell r="H544">
            <v>2</v>
          </cell>
          <cell r="I544">
            <v>0.7</v>
          </cell>
          <cell r="J544" t="str">
            <v>The official has potantial for performing even better overall satisfactry</v>
          </cell>
        </row>
        <row r="545">
          <cell r="A545" t="str">
            <v>NQ-099</v>
          </cell>
          <cell r="B545" t="str">
            <v>Naib Quasid</v>
          </cell>
          <cell r="C545" t="str">
            <v>DEC Karachi West _ REC Karachi</v>
          </cell>
          <cell r="D545" t="e">
            <v>#REF!</v>
          </cell>
          <cell r="E545" t="str">
            <v>Vacant</v>
          </cell>
          <cell r="F545">
            <v>2</v>
          </cell>
          <cell r="G545" t="str">
            <v>Naib Quasid</v>
          </cell>
          <cell r="H545">
            <v>3</v>
          </cell>
          <cell r="I545">
            <v>0.62</v>
          </cell>
          <cell r="J545" t="str">
            <v xml:space="preserve">Listened to lectures with interest &amp; participated with allention </v>
          </cell>
        </row>
        <row r="546">
          <cell r="A546" t="str">
            <v>CH-072</v>
          </cell>
          <cell r="B546" t="str">
            <v>Chowkidar</v>
          </cell>
          <cell r="C546" t="str">
            <v>DEC Karachi West _ REC Karachi</v>
          </cell>
          <cell r="D546" t="e">
            <v>#REF!</v>
          </cell>
          <cell r="E546" t="str">
            <v>Ghulam Fareed (Extra staff) (Detail to work at Strong Room REC Karachi)</v>
          </cell>
          <cell r="F546">
            <v>4</v>
          </cell>
          <cell r="G546" t="str">
            <v>Chowkidar</v>
          </cell>
          <cell r="H546">
            <v>2</v>
          </cell>
          <cell r="I546">
            <v>0.5</v>
          </cell>
          <cell r="J546" t="str">
            <v>understand the content but did not participate actively. Under-confident</v>
          </cell>
        </row>
        <row r="547">
          <cell r="A547" t="str">
            <v>NQ-098</v>
          </cell>
          <cell r="B547" t="str">
            <v>Naib Quasid</v>
          </cell>
          <cell r="C547" t="str">
            <v>DEC Karachi West _ REC Karachi</v>
          </cell>
          <cell r="D547" t="e">
            <v>#REF!</v>
          </cell>
          <cell r="E547" t="str">
            <v>Chashman Shahid</v>
          </cell>
          <cell r="F547">
            <v>4</v>
          </cell>
          <cell r="G547" t="str">
            <v>Naib Quasid</v>
          </cell>
          <cell r="H547">
            <v>1</v>
          </cell>
          <cell r="I547">
            <v>0.7</v>
          </cell>
          <cell r="J547" t="str">
            <v>Performance well. Satisfactory.</v>
          </cell>
        </row>
        <row r="548">
          <cell r="A548" t="str">
            <v>SA-018</v>
          </cell>
          <cell r="B548" t="str">
            <v>Senior Assistant</v>
          </cell>
          <cell r="C548" t="str">
            <v>DEC Karachi South _ REC Karachi</v>
          </cell>
          <cell r="D548" t="e">
            <v>#REF!</v>
          </cell>
          <cell r="E548" t="str">
            <v>Zameer Hussain Phulphto</v>
          </cell>
          <cell r="F548">
            <v>16</v>
          </cell>
          <cell r="G548" t="str">
            <v>Senior Assistant</v>
          </cell>
          <cell r="H548">
            <v>3</v>
          </cell>
          <cell r="I548">
            <v>0.6</v>
          </cell>
          <cell r="J548" t="str">
            <v>Proper attention was paid to the lecture. However, he did not took good interst in group discussions, plays etc.</v>
          </cell>
        </row>
        <row r="549">
          <cell r="A549" t="str">
            <v>DEO-094</v>
          </cell>
          <cell r="B549" t="str">
            <v xml:space="preserve">Data Entry Operator </v>
          </cell>
          <cell r="C549" t="str">
            <v>DEC Karachi South _ REC Karachi</v>
          </cell>
          <cell r="D549" t="e">
            <v>#REF!</v>
          </cell>
          <cell r="E549" t="str">
            <v>Tanveer Hussain</v>
          </cell>
          <cell r="F549">
            <v>15</v>
          </cell>
          <cell r="G549" t="str">
            <v xml:space="preserve">Data Entry Operator </v>
          </cell>
          <cell r="H549">
            <v>1</v>
          </cell>
          <cell r="I549">
            <v>0.7</v>
          </cell>
          <cell r="J549" t="str">
            <v>Participated well Satisfactory</v>
          </cell>
        </row>
        <row r="550">
          <cell r="A550" t="str">
            <v>DEO-095</v>
          </cell>
          <cell r="B550" t="str">
            <v xml:space="preserve">Data Entry Operator </v>
          </cell>
          <cell r="C550" t="str">
            <v>DEC Karachi South _ REC Karachi</v>
          </cell>
          <cell r="D550" t="e">
            <v>#REF!</v>
          </cell>
          <cell r="E550" t="str">
            <v>Aajiz Ali</v>
          </cell>
          <cell r="F550">
            <v>14</v>
          </cell>
          <cell r="G550" t="str">
            <v xml:space="preserve">Data Entry Operator </v>
          </cell>
          <cell r="H550">
            <v>3</v>
          </cell>
          <cell r="I550">
            <v>0.85</v>
          </cell>
          <cell r="J550" t="str">
            <v>He was well aware of issues, and through training, he was further polished. He very actively participated in group discussions, presentations as well as play.</v>
          </cell>
        </row>
        <row r="551">
          <cell r="A551" t="str">
            <v>DEO-096</v>
          </cell>
          <cell r="B551" t="str">
            <v xml:space="preserve">Data Entry Operator </v>
          </cell>
          <cell r="C551" t="str">
            <v>DEC Karachi South _ REC Karachi</v>
          </cell>
          <cell r="D551" t="e">
            <v>#REF!</v>
          </cell>
          <cell r="E551" t="str">
            <v>Vacant</v>
          </cell>
          <cell r="F551">
            <v>14</v>
          </cell>
          <cell r="G551" t="str">
            <v xml:space="preserve">Data Entry Operator </v>
          </cell>
          <cell r="H551"/>
          <cell r="J551"/>
        </row>
        <row r="552">
          <cell r="A552" t="str">
            <v>JA-059</v>
          </cell>
          <cell r="B552" t="str">
            <v>Junior Assistant</v>
          </cell>
          <cell r="C552" t="str">
            <v>DEC Karachi South _ REC Karachi</v>
          </cell>
          <cell r="D552" t="e">
            <v>#REF!</v>
          </cell>
          <cell r="E552" t="str">
            <v>Syed Yasir Hussain Zaidi</v>
          </cell>
          <cell r="F552">
            <v>13</v>
          </cell>
          <cell r="G552" t="str">
            <v>Junior Assistant</v>
          </cell>
          <cell r="H552">
            <v>3</v>
          </cell>
          <cell r="I552">
            <v>0.75</v>
          </cell>
          <cell r="J552" t="str">
            <v>Took good interest in training. Actively participated in all activities like group discussions, presentations as well as play.</v>
          </cell>
        </row>
        <row r="553">
          <cell r="A553" t="str">
            <v>SUB-081</v>
          </cell>
          <cell r="B553" t="str">
            <v>Sub Assistant</v>
          </cell>
          <cell r="C553" t="str">
            <v>DEC Karachi South _ REC Karachi</v>
          </cell>
          <cell r="D553" t="e">
            <v>#REF!</v>
          </cell>
          <cell r="E553" t="str">
            <v>Zain-ul-Abedin</v>
          </cell>
          <cell r="F553">
            <v>11</v>
          </cell>
          <cell r="G553" t="str">
            <v>Sub Assistant</v>
          </cell>
          <cell r="H553">
            <v>1</v>
          </cell>
          <cell r="I553">
            <v>0.6</v>
          </cell>
          <cell r="J553" t="str">
            <v>Satisfactory</v>
          </cell>
        </row>
        <row r="554">
          <cell r="A554" t="str">
            <v>SUB-082</v>
          </cell>
          <cell r="B554" t="str">
            <v>Sub Assistant</v>
          </cell>
          <cell r="C554" t="str">
            <v>DEC Karachi South _ REC Karachi</v>
          </cell>
          <cell r="D554" t="e">
            <v>#REF!</v>
          </cell>
          <cell r="E554" t="str">
            <v>Shahjahan Abro</v>
          </cell>
          <cell r="F554">
            <v>11</v>
          </cell>
          <cell r="G554" t="str">
            <v>Sub Assistant</v>
          </cell>
          <cell r="H554">
            <v>2</v>
          </cell>
          <cell r="I554">
            <v>0.6</v>
          </cell>
          <cell r="J554" t="str">
            <v>Satisfactory</v>
          </cell>
        </row>
        <row r="555">
          <cell r="A555" t="str">
            <v>SCD-041</v>
          </cell>
          <cell r="B555" t="str">
            <v>Staff Car Driver</v>
          </cell>
          <cell r="C555" t="str">
            <v>DEC Karachi South _ REC Karachi</v>
          </cell>
          <cell r="D555" t="e">
            <v>#REF!</v>
          </cell>
          <cell r="E555" t="str">
            <v>Abdul Wahid</v>
          </cell>
          <cell r="F555">
            <v>7</v>
          </cell>
          <cell r="G555" t="str">
            <v>Staff Car Driver</v>
          </cell>
          <cell r="H555">
            <v>1</v>
          </cell>
          <cell r="I555">
            <v>0.7</v>
          </cell>
          <cell r="J555" t="str">
            <v>Satisfactory</v>
          </cell>
        </row>
        <row r="556">
          <cell r="A556" t="str">
            <v>CH-071</v>
          </cell>
          <cell r="B556" t="str">
            <v>Chowkidar</v>
          </cell>
          <cell r="C556" t="str">
            <v>DEC Karachi South _ REC Karachi</v>
          </cell>
          <cell r="D556" t="e">
            <v>#REF!</v>
          </cell>
          <cell r="E556" t="str">
            <v>Sultan Siddique</v>
          </cell>
          <cell r="F556">
            <v>4</v>
          </cell>
          <cell r="G556" t="str">
            <v>Chowkidar</v>
          </cell>
          <cell r="H556">
            <v>1</v>
          </cell>
          <cell r="I556">
            <v>0.8</v>
          </cell>
          <cell r="J556" t="str">
            <v>Excelent expectation.</v>
          </cell>
        </row>
        <row r="557">
          <cell r="A557" t="str">
            <v>NQ-100</v>
          </cell>
          <cell r="B557" t="str">
            <v>Naib Quasid</v>
          </cell>
          <cell r="C557" t="str">
            <v>DEC Karachi South _ REC Karachi</v>
          </cell>
          <cell r="D557" t="e">
            <v>#REF!</v>
          </cell>
          <cell r="E557" t="str">
            <v>Muhammad Iqbal</v>
          </cell>
          <cell r="F557">
            <v>4</v>
          </cell>
          <cell r="G557" t="str">
            <v>Naib Quasid</v>
          </cell>
          <cell r="H557"/>
          <cell r="J557"/>
        </row>
        <row r="558">
          <cell r="A558" t="str">
            <v>NQ-011</v>
          </cell>
          <cell r="B558" t="str">
            <v>Naib Quasid</v>
          </cell>
          <cell r="C558" t="str">
            <v>DEC Karachi South _ REC Karachi</v>
          </cell>
          <cell r="D558" t="e">
            <v>#REF!</v>
          </cell>
          <cell r="E558" t="str">
            <v>Heena</v>
          </cell>
          <cell r="F558">
            <v>4</v>
          </cell>
          <cell r="G558" t="str">
            <v>Naib Quasid</v>
          </cell>
          <cell r="H558">
            <v>3</v>
          </cell>
          <cell r="I558">
            <v>0.75</v>
          </cell>
          <cell r="J558" t="str">
            <v xml:space="preserve">Carefully listesed alllectures. Actively participated in all activtis </v>
          </cell>
        </row>
        <row r="559">
          <cell r="A559" t="str">
            <v>DEO-099</v>
          </cell>
          <cell r="B559" t="str">
            <v xml:space="preserve">Data Entry Operator </v>
          </cell>
          <cell r="C559" t="str">
            <v>DEC Keamari _ REC Karachi</v>
          </cell>
          <cell r="D559" t="e">
            <v>#REF!</v>
          </cell>
          <cell r="E559" t="str">
            <v>Waqar Ali</v>
          </cell>
          <cell r="F559">
            <v>15</v>
          </cell>
          <cell r="G559" t="str">
            <v xml:space="preserve">Data Entry Operator </v>
          </cell>
          <cell r="H559">
            <v>2</v>
          </cell>
          <cell r="I559">
            <v>0.8</v>
          </cell>
          <cell r="J559" t="str">
            <v>Has great potaintial satisfactory</v>
          </cell>
        </row>
        <row r="560">
          <cell r="A560" t="str">
            <v>SA-057</v>
          </cell>
          <cell r="B560" t="str">
            <v>Senior Assistant</v>
          </cell>
          <cell r="C560" t="str">
            <v>DEC Keamari _ REC Karachi</v>
          </cell>
          <cell r="D560" t="e">
            <v>#REF!</v>
          </cell>
          <cell r="E560" t="str">
            <v>Syed Athar Hussain</v>
          </cell>
          <cell r="F560">
            <v>16</v>
          </cell>
          <cell r="G560" t="str">
            <v>Senior Assistant</v>
          </cell>
          <cell r="H560">
            <v>3</v>
          </cell>
          <cell r="I560">
            <v>0.7</v>
          </cell>
          <cell r="J560" t="str">
            <v xml:space="preserve">Actively participated in all group activities. </v>
          </cell>
        </row>
        <row r="561">
          <cell r="A561" t="str">
            <v>DEO-097</v>
          </cell>
          <cell r="B561" t="str">
            <v xml:space="preserve">Data Entry Operator </v>
          </cell>
          <cell r="C561" t="str">
            <v>DEC Keamari _ REC Karachi</v>
          </cell>
          <cell r="D561" t="e">
            <v>#REF!</v>
          </cell>
          <cell r="E561" t="str">
            <v>Abid Sadiq</v>
          </cell>
          <cell r="F561">
            <v>15</v>
          </cell>
          <cell r="G561" t="str">
            <v xml:space="preserve">Data Entry Operator </v>
          </cell>
          <cell r="H561">
            <v>2</v>
          </cell>
          <cell r="I561">
            <v>0.7</v>
          </cell>
          <cell r="J561" t="str">
            <v>Active participation. Took interst in the content</v>
          </cell>
        </row>
        <row r="562">
          <cell r="A562" t="str">
            <v>DEO-098</v>
          </cell>
          <cell r="B562" t="str">
            <v xml:space="preserve">Data Entry Operator </v>
          </cell>
          <cell r="C562" t="str">
            <v>DEC Keamari _ REC Karachi</v>
          </cell>
          <cell r="D562" t="e">
            <v>#REF!</v>
          </cell>
          <cell r="E562" t="str">
            <v>Abdul Majeed</v>
          </cell>
          <cell r="F562">
            <v>15</v>
          </cell>
          <cell r="G562" t="str">
            <v xml:space="preserve">Data Entry Operator </v>
          </cell>
          <cell r="H562">
            <v>1</v>
          </cell>
          <cell r="I562">
            <v>0.7</v>
          </cell>
          <cell r="J562" t="str">
            <v>Satisfactory</v>
          </cell>
        </row>
        <row r="563">
          <cell r="A563" t="str">
            <v>JA-060</v>
          </cell>
          <cell r="B563" t="str">
            <v>Junior Assistant</v>
          </cell>
          <cell r="C563" t="str">
            <v>DEC Keamari _ REC Karachi</v>
          </cell>
          <cell r="D563" t="e">
            <v>#REF!</v>
          </cell>
          <cell r="E563" t="str">
            <v>Mrs. Huma Naz</v>
          </cell>
          <cell r="F563">
            <v>13</v>
          </cell>
          <cell r="G563" t="str">
            <v>Junior Assistant</v>
          </cell>
          <cell r="H563">
            <v>1</v>
          </cell>
          <cell r="I563">
            <v>0.7</v>
          </cell>
          <cell r="J563" t="str">
            <v>Satisfactory</v>
          </cell>
        </row>
        <row r="564">
          <cell r="A564" t="str">
            <v>SUB-083</v>
          </cell>
          <cell r="B564" t="str">
            <v>Sub Assistant</v>
          </cell>
          <cell r="C564" t="str">
            <v>DEC Keamari _ REC Karachi</v>
          </cell>
          <cell r="D564" t="e">
            <v>#REF!</v>
          </cell>
          <cell r="E564" t="str">
            <v>Abdul Rasheed</v>
          </cell>
          <cell r="F564">
            <v>11</v>
          </cell>
          <cell r="G564" t="str">
            <v>Sub Assistant</v>
          </cell>
          <cell r="H564">
            <v>2</v>
          </cell>
          <cell r="I564">
            <v>0.7</v>
          </cell>
          <cell r="J564" t="str">
            <v>Participated actively Satisfactory</v>
          </cell>
        </row>
        <row r="565">
          <cell r="A565" t="str">
            <v>SUB-084</v>
          </cell>
          <cell r="B565" t="str">
            <v>Sub Assistant</v>
          </cell>
          <cell r="C565" t="str">
            <v>DEC Keamari _ REC Karachi</v>
          </cell>
          <cell r="D565" t="e">
            <v>#REF!</v>
          </cell>
          <cell r="E565" t="str">
            <v>Muhammad Hashir</v>
          </cell>
          <cell r="F565">
            <v>11</v>
          </cell>
          <cell r="G565" t="str">
            <v>Sub Assistant</v>
          </cell>
          <cell r="H565">
            <v>2</v>
          </cell>
          <cell r="I565">
            <v>0.7</v>
          </cell>
          <cell r="J565" t="str">
            <v>Performed well</v>
          </cell>
        </row>
        <row r="566">
          <cell r="A566" t="str">
            <v>SCD-042</v>
          </cell>
          <cell r="B566" t="str">
            <v>Staff Car Driver</v>
          </cell>
          <cell r="C566" t="str">
            <v>DEC Keamari _ REC Karachi</v>
          </cell>
          <cell r="D566" t="e">
            <v>#REF!</v>
          </cell>
          <cell r="E566" t="str">
            <v>Muhammad Imran</v>
          </cell>
          <cell r="F566">
            <v>7</v>
          </cell>
          <cell r="G566" t="str">
            <v>Staff Car Driver</v>
          </cell>
          <cell r="H566">
            <v>2</v>
          </cell>
          <cell r="I566">
            <v>0.6</v>
          </cell>
          <cell r="J566" t="str">
            <v>Satisfactory</v>
          </cell>
        </row>
        <row r="567">
          <cell r="A567" t="str">
            <v>CH-073</v>
          </cell>
          <cell r="B567" t="str">
            <v>Chowkidar</v>
          </cell>
          <cell r="C567" t="str">
            <v>DEC Keamari _ REC Karachi</v>
          </cell>
          <cell r="D567" t="e">
            <v>#REF!</v>
          </cell>
          <cell r="E567" t="str">
            <v>Shafiqullah</v>
          </cell>
          <cell r="F567">
            <v>4</v>
          </cell>
          <cell r="G567" t="str">
            <v>Chowkidar</v>
          </cell>
          <cell r="H567">
            <v>3</v>
          </cell>
          <cell r="I567">
            <v>0.7</v>
          </cell>
          <cell r="J567" t="str">
            <v>Took good interst is all sessions. Participation in all sessions was also good.</v>
          </cell>
        </row>
        <row r="568">
          <cell r="A568" t="str">
            <v>NQ-103</v>
          </cell>
          <cell r="B568" t="str">
            <v>Naib Quasid</v>
          </cell>
          <cell r="C568" t="str">
            <v>DEC Keamari _ REC Karachi</v>
          </cell>
          <cell r="D568" t="e">
            <v>#REF!</v>
          </cell>
          <cell r="E568" t="str">
            <v>Syed Taimoor Ali</v>
          </cell>
          <cell r="F568">
            <v>4</v>
          </cell>
          <cell r="G568" t="str">
            <v>Naib Quasid</v>
          </cell>
          <cell r="H568">
            <v>3</v>
          </cell>
          <cell r="I568">
            <v>0.68</v>
          </cell>
          <cell r="J568" t="str">
            <v>Attended training with intent and participated in all activities</v>
          </cell>
        </row>
        <row r="569">
          <cell r="A569" t="str">
            <v>NQ-102</v>
          </cell>
          <cell r="B569" t="str">
            <v>Naib Quasid</v>
          </cell>
          <cell r="C569" t="str">
            <v>DEC Keamari _ REC Karachi</v>
          </cell>
          <cell r="D569" t="e">
            <v>#REF!</v>
          </cell>
          <cell r="E569" t="str">
            <v>Muhammad Suleman</v>
          </cell>
          <cell r="F569">
            <v>2</v>
          </cell>
          <cell r="G569" t="str">
            <v>Naib Quasid</v>
          </cell>
          <cell r="H569">
            <v>2</v>
          </cell>
          <cell r="I569">
            <v>0.6</v>
          </cell>
          <cell r="J569" t="str">
            <v>Has potantial for performing even better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Extra"/>
      <sheetName val="All"/>
      <sheetName val="Format"/>
      <sheetName val="Chart1"/>
      <sheetName val="New Appointment"/>
      <sheetName val="Sheet5"/>
      <sheetName val="Sheet4"/>
      <sheetName val="Degree"/>
      <sheetName val="Sheet3"/>
      <sheetName val="ReSubmit"/>
      <sheetName val="HR Pool"/>
      <sheetName val="Extras"/>
      <sheetName val="Format (2)"/>
      <sheetName val="Sheet6"/>
      <sheetName val="Remaining"/>
      <sheetName val="Sheet3 (2)"/>
      <sheetName val="Officers"/>
      <sheetName val="DADA"/>
      <sheetName val="Vacant"/>
      <sheetName val="Remaining (2)"/>
      <sheetName val="Reply"/>
    </sheetNames>
    <sheetDataSet>
      <sheetData sheetId="0">
        <row r="3">
          <cell r="T3" t="str">
            <v>PEC Office</v>
          </cell>
          <cell r="U3" t="str">
            <v>Office Of The Provincial Election Commissioner, Sindh (Hq)</v>
          </cell>
          <cell r="V3">
            <v>1</v>
          </cell>
        </row>
        <row r="4">
          <cell r="T4" t="str">
            <v>JPEC (Admn) Office</v>
          </cell>
          <cell r="U4" t="str">
            <v>Office Of The Joint Provincial Election Commissioner (Admn)</v>
          </cell>
          <cell r="V4">
            <v>2</v>
          </cell>
        </row>
        <row r="5">
          <cell r="T5" t="str">
            <v xml:space="preserve">JPEC (Election) Office </v>
          </cell>
          <cell r="U5" t="str">
            <v>Office Of The Joint Provincial Election Commissioner (Elections)</v>
          </cell>
          <cell r="V5">
            <v>3</v>
          </cell>
        </row>
        <row r="6">
          <cell r="T6" t="str">
            <v>Director (Admn) Office</v>
          </cell>
          <cell r="U6" t="str">
            <v>Office Of Director (Admn)</v>
          </cell>
          <cell r="V6">
            <v>4</v>
          </cell>
        </row>
        <row r="7">
          <cell r="T7" t="str">
            <v>Admn Branch</v>
          </cell>
          <cell r="U7" t="str">
            <v>Office Of Director (Elections)</v>
          </cell>
          <cell r="V7">
            <v>5</v>
          </cell>
        </row>
        <row r="8">
          <cell r="T8" t="str">
            <v>R &amp; I Branch</v>
          </cell>
          <cell r="U8" t="str">
            <v xml:space="preserve">Office Of Deputy Director (Admn) </v>
          </cell>
          <cell r="V8">
            <v>6</v>
          </cell>
        </row>
        <row r="9">
          <cell r="T9" t="str">
            <v>Record Branch</v>
          </cell>
          <cell r="V9">
            <v>7</v>
          </cell>
        </row>
        <row r="10">
          <cell r="T10" t="str">
            <v>Cash Branch</v>
          </cell>
          <cell r="U10" t="str">
            <v>R&amp;I Branch</v>
          </cell>
          <cell r="V10">
            <v>8</v>
          </cell>
        </row>
        <row r="11">
          <cell r="T11" t="str">
            <v>Transport Branch</v>
          </cell>
          <cell r="U11" t="str">
            <v xml:space="preserve">Transport Branch </v>
          </cell>
          <cell r="V11">
            <v>9</v>
          </cell>
        </row>
        <row r="12">
          <cell r="T12" t="str">
            <v>Establishment Branch</v>
          </cell>
          <cell r="U12" t="str">
            <v>Cash Branch</v>
          </cell>
          <cell r="V12">
            <v>10</v>
          </cell>
        </row>
        <row r="13">
          <cell r="T13" t="str">
            <v>Training Branch</v>
          </cell>
          <cell r="U13" t="str">
            <v xml:space="preserve">Office Of Deputy Director (Estt) </v>
          </cell>
          <cell r="V13">
            <v>11</v>
          </cell>
        </row>
        <row r="14">
          <cell r="T14" t="str">
            <v>Accounts Branch</v>
          </cell>
          <cell r="V14">
            <v>12</v>
          </cell>
        </row>
        <row r="15">
          <cell r="T15" t="str">
            <v>Protocol Branch</v>
          </cell>
          <cell r="V15">
            <v>13</v>
          </cell>
        </row>
        <row r="16">
          <cell r="T16" t="str">
            <v>Development Branch</v>
          </cell>
          <cell r="V16">
            <v>14</v>
          </cell>
        </row>
        <row r="17">
          <cell r="T17" t="str">
            <v>Director (Elections) Office</v>
          </cell>
          <cell r="U17" t="str">
            <v>Development Branch</v>
          </cell>
          <cell r="V17">
            <v>15</v>
          </cell>
        </row>
        <row r="18">
          <cell r="T18" t="str">
            <v>Elections &amp; Political Finance Branch</v>
          </cell>
          <cell r="V18">
            <v>16</v>
          </cell>
        </row>
        <row r="19">
          <cell r="T19" t="str">
            <v>LGE Branch</v>
          </cell>
          <cell r="U19" t="str">
            <v>Office Of Deputy Director (Electoral Rolls)</v>
          </cell>
          <cell r="V19">
            <v>17</v>
          </cell>
        </row>
        <row r="20">
          <cell r="T20" t="str">
            <v>Electoral Rolls Branch</v>
          </cell>
          <cell r="U20" t="str">
            <v>Office Of Deputy Director (Training)</v>
          </cell>
          <cell r="V20">
            <v>18</v>
          </cell>
        </row>
        <row r="21">
          <cell r="T21" t="str">
            <v>GS Branch</v>
          </cell>
          <cell r="U21" t="str">
            <v xml:space="preserve">Office Of Assistant Director (Record) </v>
          </cell>
          <cell r="V21">
            <v>19</v>
          </cell>
        </row>
        <row r="22">
          <cell r="T22" t="str">
            <v>G&amp;SI Branch</v>
          </cell>
          <cell r="V22">
            <v>20</v>
          </cell>
        </row>
        <row r="23">
          <cell r="T23" t="str">
            <v>MCO Branch</v>
          </cell>
          <cell r="U23" t="str">
            <v>Office Of Deputy Director (Accounts)</v>
          </cell>
          <cell r="V23">
            <v>21</v>
          </cell>
        </row>
        <row r="24">
          <cell r="T24" t="str">
            <v>Law Branch</v>
          </cell>
          <cell r="V24">
            <v>22</v>
          </cell>
        </row>
        <row r="25">
          <cell r="T25" t="str">
            <v>IT Section</v>
          </cell>
          <cell r="U25" t="str">
            <v>Office Of Deputy Director (Elections &amp; Political Finance)</v>
          </cell>
          <cell r="V25">
            <v>23</v>
          </cell>
        </row>
        <row r="26">
          <cell r="V26">
            <v>24</v>
          </cell>
        </row>
        <row r="27">
          <cell r="U27" t="str">
            <v xml:space="preserve">Office Of Deputy Director (Gender &amp; Social Inclusion) </v>
          </cell>
          <cell r="V27">
            <v>25</v>
          </cell>
        </row>
        <row r="28">
          <cell r="V28">
            <v>26</v>
          </cell>
        </row>
        <row r="29">
          <cell r="U29" t="str">
            <v>Office Of Director (Law) &amp; Dd (Law)</v>
          </cell>
          <cell r="V29">
            <v>27</v>
          </cell>
        </row>
        <row r="30">
          <cell r="V30">
            <v>28</v>
          </cell>
        </row>
        <row r="31">
          <cell r="V31">
            <v>29</v>
          </cell>
        </row>
        <row r="32">
          <cell r="U32" t="str">
            <v xml:space="preserve">Office Of Deputy Director (Gs) </v>
          </cell>
          <cell r="V32">
            <v>30</v>
          </cell>
        </row>
        <row r="33">
          <cell r="V33">
            <v>31</v>
          </cell>
        </row>
        <row r="34">
          <cell r="U34" t="str">
            <v xml:space="preserve">Office Of Deputy Director (Lge) </v>
          </cell>
          <cell r="V34">
            <v>32</v>
          </cell>
        </row>
        <row r="35">
          <cell r="V35">
            <v>33</v>
          </cell>
        </row>
        <row r="36">
          <cell r="U36" t="str">
            <v>Office Of Assistant Director Media Coordination And Outreach (Mco)</v>
          </cell>
          <cell r="V36">
            <v>34</v>
          </cell>
        </row>
        <row r="37">
          <cell r="V37">
            <v>35</v>
          </cell>
        </row>
        <row r="38">
          <cell r="U38" t="str">
            <v>Office Of Director (Mis)</v>
          </cell>
          <cell r="V38">
            <v>36</v>
          </cell>
        </row>
        <row r="39">
          <cell r="V39">
            <v>37</v>
          </cell>
        </row>
        <row r="40">
          <cell r="V40">
            <v>38</v>
          </cell>
        </row>
        <row r="41">
          <cell r="V41">
            <v>39</v>
          </cell>
        </row>
        <row r="42">
          <cell r="U42" t="str">
            <v>It Branch</v>
          </cell>
          <cell r="V42">
            <v>40</v>
          </cell>
        </row>
        <row r="45">
          <cell r="T45" t="str">
            <v>REC Sukkur _ REC Sukkur</v>
          </cell>
          <cell r="V45">
            <v>41</v>
          </cell>
        </row>
        <row r="46">
          <cell r="T46" t="str">
            <v>REC Sukkur Strong Room _ REC Sukkur</v>
          </cell>
          <cell r="V46">
            <v>42</v>
          </cell>
        </row>
        <row r="47">
          <cell r="T47" t="str">
            <v>AD (Law) REC Sukkur _ REC Sukkur</v>
          </cell>
          <cell r="V47">
            <v>43</v>
          </cell>
        </row>
        <row r="48">
          <cell r="T48" t="str">
            <v>DEC Sukkur _ REC Sukkur</v>
          </cell>
          <cell r="V48">
            <v>44</v>
          </cell>
        </row>
        <row r="49">
          <cell r="T49" t="str">
            <v>DEC Ghotki _ REC Sukkur</v>
          </cell>
          <cell r="V49">
            <v>45</v>
          </cell>
        </row>
        <row r="50">
          <cell r="T50" t="str">
            <v>DEC Khairpur _ REC Sukkur</v>
          </cell>
          <cell r="V50">
            <v>46</v>
          </cell>
        </row>
        <row r="51">
          <cell r="T51" t="str">
            <v>REC Shaheed Benazirabad _ REC SBA</v>
          </cell>
          <cell r="V51">
            <v>47</v>
          </cell>
        </row>
        <row r="52">
          <cell r="T52" t="str">
            <v>REC Shaheed Benazirabad Strong Room _ REC SBA</v>
          </cell>
          <cell r="V52">
            <v>48</v>
          </cell>
        </row>
        <row r="53">
          <cell r="T53" t="str">
            <v>DEC Shaheed Benazirabad _ REC SBA</v>
          </cell>
          <cell r="V53">
            <v>49</v>
          </cell>
        </row>
        <row r="54">
          <cell r="T54" t="str">
            <v>DEC Sanghar _ REC SBA</v>
          </cell>
          <cell r="V54">
            <v>50</v>
          </cell>
        </row>
        <row r="55">
          <cell r="T55" t="str">
            <v>DEC Naushero Feroze _ REC SBA</v>
          </cell>
          <cell r="V55">
            <v>51</v>
          </cell>
        </row>
        <row r="56">
          <cell r="T56" t="str">
            <v>REC Larkana _ REC Larkana</v>
          </cell>
          <cell r="V56">
            <v>52</v>
          </cell>
        </row>
        <row r="57">
          <cell r="T57" t="str">
            <v>REC Larkana Strong Room _ REC Larkana</v>
          </cell>
          <cell r="V57">
            <v>53</v>
          </cell>
        </row>
        <row r="58">
          <cell r="T58" t="str">
            <v>AD (Law) REC Larkana _ REC Larkana</v>
          </cell>
          <cell r="V58">
            <v>54</v>
          </cell>
        </row>
        <row r="59">
          <cell r="T59" t="str">
            <v>DEC Larkana  _ REC Larkana</v>
          </cell>
          <cell r="V59">
            <v>55</v>
          </cell>
        </row>
        <row r="60">
          <cell r="T60" t="str">
            <v>DEC Jacobabad _ REC Larkana</v>
          </cell>
          <cell r="V60">
            <v>56</v>
          </cell>
        </row>
        <row r="61">
          <cell r="T61" t="str">
            <v>DEC Shikarpur  _ REC Larkana</v>
          </cell>
          <cell r="V61">
            <v>57</v>
          </cell>
        </row>
        <row r="62">
          <cell r="T62" t="str">
            <v>DEC Kashmore  _ REC Larkana</v>
          </cell>
          <cell r="V62">
            <v>58</v>
          </cell>
        </row>
        <row r="63">
          <cell r="T63" t="str">
            <v>DEC Kamber-Shahdadkot  _ REC Larkana</v>
          </cell>
          <cell r="V63">
            <v>59</v>
          </cell>
        </row>
        <row r="64">
          <cell r="T64" t="str">
            <v>REC Hyderabad _ REC Hyderabad</v>
          </cell>
          <cell r="V64">
            <v>60</v>
          </cell>
        </row>
        <row r="65">
          <cell r="T65" t="str">
            <v>REC Hyderabad Strong Room _ REC Hyderabad</v>
          </cell>
          <cell r="V65">
            <v>61</v>
          </cell>
        </row>
        <row r="66">
          <cell r="T66" t="str">
            <v>AD (Law) REC Hyderabad _ REC Hyderabad</v>
          </cell>
          <cell r="V66">
            <v>62</v>
          </cell>
        </row>
        <row r="67">
          <cell r="T67" t="str">
            <v>DEC Hyderabad _ REC Hyderabad</v>
          </cell>
          <cell r="V67">
            <v>63</v>
          </cell>
        </row>
        <row r="68">
          <cell r="T68" t="str">
            <v>DEC Dadu _ REC Hyderabad</v>
          </cell>
          <cell r="V68">
            <v>64</v>
          </cell>
        </row>
        <row r="69">
          <cell r="T69" t="str">
            <v>DEC Jamshoro _ REC Hyderabad</v>
          </cell>
          <cell r="V69">
            <v>65</v>
          </cell>
        </row>
        <row r="70">
          <cell r="T70" t="str">
            <v>DEC Matiari _ REC Hyderabad</v>
          </cell>
          <cell r="V70">
            <v>66</v>
          </cell>
        </row>
        <row r="71">
          <cell r="T71" t="str">
            <v>DEC Tando Allahyar _ REC Hyderabad</v>
          </cell>
          <cell r="V71">
            <v>67</v>
          </cell>
        </row>
        <row r="72">
          <cell r="T72" t="str">
            <v>DEC Tando Muhammad Khan _ REC Hyderabad</v>
          </cell>
          <cell r="V72">
            <v>68</v>
          </cell>
        </row>
        <row r="73">
          <cell r="T73" t="str">
            <v>REC Thatta _ REC Thatta</v>
          </cell>
          <cell r="V73">
            <v>69</v>
          </cell>
        </row>
        <row r="74">
          <cell r="T74" t="str">
            <v>REC Thatta Strong Room _ REC Thatta</v>
          </cell>
          <cell r="V74">
            <v>70</v>
          </cell>
        </row>
        <row r="75">
          <cell r="T75" t="str">
            <v>DEC Thatta _ REC Thatta</v>
          </cell>
          <cell r="V75">
            <v>71</v>
          </cell>
        </row>
        <row r="76">
          <cell r="T76" t="str">
            <v>DEC Badin _ REC Thatta</v>
          </cell>
          <cell r="V76">
            <v>72</v>
          </cell>
        </row>
        <row r="77">
          <cell r="T77" t="str">
            <v>DEC Sujawal _ REC Thatta</v>
          </cell>
          <cell r="V77">
            <v>73</v>
          </cell>
        </row>
        <row r="78">
          <cell r="T78" t="str">
            <v>REC Mirpurkhas _ REC Mirpurkhas</v>
          </cell>
          <cell r="V78">
            <v>74</v>
          </cell>
        </row>
        <row r="79">
          <cell r="T79" t="str">
            <v>REC Mirpurkhas Strong Room _ REC Mirpurkhas</v>
          </cell>
          <cell r="V79">
            <v>75</v>
          </cell>
        </row>
        <row r="80">
          <cell r="T80" t="str">
            <v>DEC Mirpurkhas _ REC Mirpurkhas</v>
          </cell>
          <cell r="V80">
            <v>76</v>
          </cell>
        </row>
        <row r="81">
          <cell r="T81" t="str">
            <v>DEC Tharparkar _ REC Mirpurkhas</v>
          </cell>
          <cell r="V81">
            <v>77</v>
          </cell>
        </row>
        <row r="82">
          <cell r="T82" t="str">
            <v>DEC Umerkot _ REC Mirpurkhas</v>
          </cell>
          <cell r="V82">
            <v>78</v>
          </cell>
        </row>
        <row r="83">
          <cell r="T83" t="str">
            <v>REC Karachi _ REC Karachi</v>
          </cell>
          <cell r="V83">
            <v>79</v>
          </cell>
        </row>
        <row r="84">
          <cell r="T84" t="str">
            <v>REC Karachi Strong Room _ REC Karachi</v>
          </cell>
          <cell r="V84">
            <v>80</v>
          </cell>
        </row>
        <row r="85">
          <cell r="T85" t="str">
            <v>DEC Malir _ REC Karachi</v>
          </cell>
          <cell r="V85">
            <v>81</v>
          </cell>
        </row>
        <row r="86">
          <cell r="T86" t="str">
            <v>DEC Korangi _ REC Karachi</v>
          </cell>
          <cell r="V86">
            <v>82</v>
          </cell>
        </row>
        <row r="87">
          <cell r="T87" t="str">
            <v>DEC Karachi Central _ REC Karachi</v>
          </cell>
          <cell r="V87">
            <v>83</v>
          </cell>
        </row>
        <row r="88">
          <cell r="T88" t="str">
            <v>DEC Karachi East _ REC Karachi</v>
          </cell>
          <cell r="V88">
            <v>84</v>
          </cell>
        </row>
        <row r="89">
          <cell r="T89" t="str">
            <v>DEC Karachi West _ REC Karachi</v>
          </cell>
          <cell r="V89">
            <v>85</v>
          </cell>
        </row>
        <row r="90">
          <cell r="T90" t="str">
            <v>DEC Karachi South _ REC Karachi</v>
          </cell>
          <cell r="V90">
            <v>86</v>
          </cell>
        </row>
        <row r="91">
          <cell r="T91" t="str">
            <v>DEC Keamari _ REC Karachi</v>
          </cell>
          <cell r="V91">
            <v>87</v>
          </cell>
        </row>
        <row r="92">
          <cell r="T92" t="str">
            <v>HR Pool</v>
          </cell>
          <cell r="V92">
            <v>88</v>
          </cell>
        </row>
      </sheetData>
      <sheetData sheetId="1">
        <row r="51">
          <cell r="B51" t="str">
            <v>Nadeem-ur-Rehman</v>
          </cell>
        </row>
        <row r="52">
          <cell r="B52" t="str">
            <v>Ghulam Asghar Dayo</v>
          </cell>
        </row>
        <row r="60">
          <cell r="D60" t="str">
            <v>Vacant</v>
          </cell>
        </row>
      </sheetData>
      <sheetData sheetId="2"/>
      <sheetData sheetId="3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72AF6-AF53-4F8B-87F5-6A03212D4574}" name="Table1" displayName="Table1" ref="A2:AX689" totalsRowShown="0" headerRowDxfId="52" dataDxfId="51" tableBorderDxfId="50">
  <autoFilter ref="A2:AX689" xr:uid="{26FFD5E9-0A65-4EC0-AFC6-49DB55D49C84}"/>
  <tableColumns count="50">
    <tableColumn id="1" xr3:uid="{C326B7A9-4202-4374-BE56-627C2E1C9F40}" name="S.No" dataDxfId="49"/>
    <tableColumn id="2" xr3:uid="{339851C3-2948-4805-B2D2-7EA81E98E141}" name="Code" dataDxfId="48"/>
    <tableColumn id="3" xr3:uid="{95CAC510-80EC-47C5-AFAB-6DCE811019FA}" name="Branch / Office" dataDxfId="47"/>
    <tableColumn id="5" xr3:uid="{0C233CD4-35A3-49AF-8A8A-C2DC77083E02}" name="Names" dataDxfId="46"/>
    <tableColumn id="6" xr3:uid="{A1D91C00-E3B6-41CB-AEAE-7E237AE3986E}" name="BS" dataDxfId="45"/>
    <tableColumn id="7" xr3:uid="{3099FA94-DD64-4F63-92B2-928F5235FDD7}" name="Name of Post" dataDxfId="44"/>
    <tableColumn id="4" xr3:uid="{1E5FA4F9-131D-49C2-BDCB-69F04E1FA125}" name="S" dataDxfId="43">
      <calculatedColumnFormula>VLOOKUP(C3,[2]Sheet2!$T$3:$V$92,3,FALSE)</calculatedColumnFormula>
    </tableColumn>
    <tableColumn id="32" xr3:uid="{007B66B3-A76F-4466-A2CD-120DE81E325F}" name="Officers/ Officials" dataDxfId="42"/>
    <tableColumn id="33" xr3:uid="{96EC02BA-0F5F-4C99-AD64-A6D7F0A52DA4}" name="HQ / Field" dataDxfId="41"/>
    <tableColumn id="50" xr3:uid="{F34EB78A-325E-4813-AA81-8636E7F2892B}" name="Day" dataDxfId="40">
      <calculatedColumnFormula>VLOOKUP(Table1[[#This Row],[Code]],[1]Training!$A$3:$J$569,8,FALSE)</calculatedColumnFormula>
    </tableColumn>
    <tableColumn id="46" xr3:uid="{1E4AD9A4-614A-46F7-9B00-72EC7C9DE435}" name="Percentage" dataDxfId="39">
      <calculatedColumnFormula>VLOOKUP(Table1[[#This Row],[Code]],[1]Training!$A$3:$J$569,9,FALSE)</calculatedColumnFormula>
    </tableColumn>
    <tableColumn id="45" xr3:uid="{800E3639-E677-4D7F-B4BE-D82FC497219B}" name="Remarks" dataDxfId="38">
      <calculatedColumnFormula>VLOOKUP(Table1[[#This Row],[Code]],[1]Training!$A$3:$J$569,10,FALSE)</calculatedColumnFormula>
    </tableColumn>
    <tableColumn id="8" xr3:uid="{0AB14C76-EE3C-424C-B9DE-0B09B4E2DEDE}" name="Domicile" dataDxfId="37"/>
    <tableColumn id="49" xr3:uid="{B8432166-52EF-405A-835E-BCD9E777A304}" name="ACR 2025" dataDxfId="36"/>
    <tableColumn id="51" xr3:uid="{4DE85C5C-245D-46B7-93D1-17122B05A7FA}" name="ACR 20252" dataDxfId="35">
      <calculatedColumnFormula>IF(DATEVALUE(MID(N3,15,10))-DATEVALUE(LEFT(N3,10))+1&gt;=365,"1 Year",
DATEDIF(DATEVALUE(LEFT(N3,10)),DATEVALUE(MID(N3,15,10)),"Y")&amp;" Years, "&amp;DATEDIF(DATEVALUE(LEFT(N3,10)),DATEVALUE(MID(N3,15,10)),"YM")&amp;" Months, "&amp;DATEDIF(DATEVALUE(LEFT(N3,10)),DATEVALUE(MID(N3,15,10)),"MD")&amp;" Days")</calculatedColumnFormula>
    </tableColumn>
    <tableColumn id="44" xr3:uid="{B0BE79E0-5ED7-4110-9F34-D0A0D0168FCA}" name="Comments" dataDxfId="34"/>
    <tableColumn id="48" xr3:uid="{DADCEA21-1A19-4A04-B87D-776E51D17177}" name="Remarks3" dataDxfId="33"/>
    <tableColumn id="9" xr3:uid="{FB4B81AC-CBF6-4311-B83C-9FE9A49FA621}" name="Date of Appointment" dataDxfId="32"/>
    <tableColumn id="10" xr3:uid="{FE8623D4-F2FD-4B13-A704-5D80A3E269DA}" name="Current Place of Posting date" dataDxfId="31"/>
    <tableColumn id="11" xr3:uid="{C90A2506-0C4F-4A01-91C8-BC235718A0E1}" name="Personal No" dataDxfId="30"/>
    <tableColumn id="12" xr3:uid="{425CF15A-F72F-45DA-BAA8-4AD803808E0D}" name="CNIC" dataDxfId="29"/>
    <tableColumn id="13" xr3:uid="{00266C08-8AB8-44DF-8628-E779B2001A71}" name="Date  of Birth" dataDxfId="28"/>
    <tableColumn id="14" xr3:uid="{0B22FAA4-5CB6-46D3-90F6-2C9742B1484E}" name="Religion" dataDxfId="27"/>
    <tableColumn id="15" xr3:uid="{5FC3F2FA-08A0-4A17-946B-7F1FC5535AB6}" name="Marital Statut" dataDxfId="26"/>
    <tableColumn id="16" xr3:uid="{E69823D4-D7E7-4A5B-BEB8-A7923FBB1A4B}" name="Home District" dataDxfId="25"/>
    <tableColumn id="18" xr3:uid="{BDD8460A-C253-4D21-93B2-45A59D81F90C}" name="Entry Govt" dataDxfId="24"/>
    <tableColumn id="19" xr3:uid="{7B699561-28A6-4997-B364-D6C1394D70CE}" name="Joining Date" dataDxfId="23"/>
    <tableColumn id="20" xr3:uid="{2383A658-EDA2-4C22-B044-AB8512ED0C93}" name="Job Status" dataDxfId="22"/>
    <tableColumn id="21" xr3:uid="{E778414B-23FA-4963-AC67-EF984236B922}" name="Disability" dataDxfId="21"/>
    <tableColumn id="22" xr3:uid="{07BC067D-9B00-492D-8896-0486C97445A0}" name="Blood Group" dataDxfId="20"/>
    <tableColumn id="23" xr3:uid="{433F8FB6-680C-4E7A-ADE1-DD8FE1C7DA50}" name="Mobile No" dataDxfId="19"/>
    <tableColumn id="34" xr3:uid="{E406DA56-B618-4598-B5FF-5FFA98999E6C}" name="Temporary Address" dataDxfId="18"/>
    <tableColumn id="30" xr3:uid="{D67F9A46-A421-4DDA-B3A0-ADFC7AD48407}" name="Permanent Address" dataDxfId="17"/>
    <tableColumn id="35" xr3:uid="{E02F6D90-1DFE-4355-B52F-E82A2D97AB8A}" name="Passport NOC" dataDxfId="16"/>
    <tableColumn id="24" xr3:uid="{D3CF3312-FC19-4EA2-98AB-2AF6ADDA7B84}" name="Probation" dataDxfId="15"/>
    <tableColumn id="27" xr3:uid="{4C619AC4-2AFB-43C9-9681-4727C2DB3CE7}" name="BPS wise Promotion" dataDxfId="14"/>
    <tableColumn id="28" xr3:uid="{5B8946B3-60B5-4D3F-A076-57DF21D34FDD}" name="Last Promotion" dataDxfId="13"/>
    <tableColumn id="29" xr3:uid="{26299B56-34D0-476B-98B0-676659BB7EB3}" name="Remark 1" dataDxfId="12"/>
    <tableColumn id="25" xr3:uid="{FEC6E92E-F927-4512-8823-5E672342AEF8}" name="Qualificaiton" dataDxfId="11"/>
    <tableColumn id="43" xr3:uid="{6150ED52-8885-49A6-9644-FBCEC4C28D35}" name="Matric" dataDxfId="10"/>
    <tableColumn id="42" xr3:uid="{B4D654F6-9BBE-4A53-A78A-DA255BD3EFAC}" name="Inter" dataDxfId="9"/>
    <tableColumn id="41" xr3:uid="{05592B7B-3734-4431-927A-68FADEFF4B46}" name="Bachelor" dataDxfId="8"/>
    <tableColumn id="40" xr3:uid="{55DFC252-A4E1-43ED-B2B0-AA96F4BD62E5}" name="Master" dataDxfId="7"/>
    <tableColumn id="39" xr3:uid="{3730A0FE-108E-45EB-81CD-08D61F5C2693}" name="Other" dataDxfId="6"/>
    <tableColumn id="26" xr3:uid="{093CC2C4-73C9-4BBC-BB93-F1D450BEFF36}" name="All Degree Status" dataDxfId="5"/>
    <tableColumn id="17" xr3:uid="{4A311D3F-B016-43E8-8271-9112BC46FF2F}" name="Last Degree Status" dataDxfId="4">
      <calculatedColumnFormula>IF(AM3="Matric",IF(AN3="Yes","Yes",IF(AN3="Under Process", "Under Process","No")),IF(AM3="Inter",IF(AO3="Yes","Yes",IF(AO3="Under Process", "Under Process","No")),IF(AM3="Bachelor",IF(AP3="Yes","Yes",IF(AP3="Under Process", "Under Process","No")),IF(AM3="Master",IF(AQ3="Yes","Yes",IF(AQ3="Under Process", "Under Process","No")),IF(AM3="Vacant",IF(D11="Yes","No","Vacant"),IF(AM3="NA",IF(D11="Yes","No","NA"),"No"))))))</calculatedColumnFormula>
    </tableColumn>
    <tableColumn id="36" xr3:uid="{5CBF0B55-7C44-4C12-B40C-C76B6CCD0A39}" name="Remarks2" dataDxfId="3"/>
    <tableColumn id="38" xr3:uid="{8150A1A1-AD8B-4A98-BC97-435D4DF2E7F6}" name="HRMS Status" dataDxfId="2"/>
    <tableColumn id="31" xr3:uid="{C8F3D422-8078-4AAD-83C8-B056BEB2F0B7}" name="D &amp; A 2024-25" dataDxfId="1"/>
    <tableColumn id="37" xr3:uid="{3BC9C3C6-ED8C-4131-8001-E2F5ADBD8275}" name="Updated in HRM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99B2-1348-4518-B991-47567EFCB6DC}">
  <sheetPr codeName="All"/>
  <dimension ref="A1:BV726"/>
  <sheetViews>
    <sheetView tabSelected="1" zoomScale="85" zoomScaleNormal="85" zoomScaleSheetLayoutView="100" workbookViewId="0">
      <selection activeCell="D11" sqref="D11"/>
    </sheetView>
  </sheetViews>
  <sheetFormatPr defaultColWidth="8.85546875" defaultRowHeight="15" outlineLevelCol="2" x14ac:dyDescent="0.25"/>
  <cols>
    <col min="1" max="1" width="11.28515625" style="1" bestFit="1" customWidth="1"/>
    <col min="2" max="2" width="12" style="1" bestFit="1" customWidth="1"/>
    <col min="3" max="3" width="47.28515625" bestFit="1" customWidth="1"/>
    <col min="4" max="4" width="48.28515625" style="4" bestFit="1" customWidth="1"/>
    <col min="5" max="5" width="9" style="3" bestFit="1" customWidth="1"/>
    <col min="6" max="6" width="47" style="3" bestFit="1" customWidth="1"/>
    <col min="7" max="7" width="7.28515625" style="1" bestFit="1" customWidth="1" outlineLevel="1"/>
    <col min="8" max="8" width="28.140625" bestFit="1" customWidth="1" outlineLevel="1"/>
    <col min="9" max="9" width="18.5703125" style="3" bestFit="1" customWidth="1" outlineLevel="1"/>
    <col min="10" max="10" width="10.5703125" style="3" bestFit="1" customWidth="1" outlineLevel="1"/>
    <col min="11" max="11" width="20" style="6" bestFit="1" customWidth="1"/>
    <col min="12" max="12" width="177.42578125" style="3" bestFit="1" customWidth="1" outlineLevel="1"/>
    <col min="13" max="13" width="23.85546875" bestFit="1" customWidth="1"/>
    <col min="14" max="14" width="26.85546875" customWidth="1"/>
    <col min="15" max="15" width="26.42578125" bestFit="1" customWidth="1"/>
    <col min="16" max="16" width="66.140625" bestFit="1" customWidth="1"/>
    <col min="17" max="17" width="19" bestFit="1" customWidth="1"/>
    <col min="18" max="18" width="32" customWidth="1" outlineLevel="2"/>
    <col min="19" max="19" width="42.85546875" customWidth="1" outlineLevel="2"/>
    <col min="20" max="20" width="21.140625" customWidth="1" outlineLevel="2"/>
    <col min="21" max="21" width="17.5703125" style="1" customWidth="1" outlineLevel="2"/>
    <col min="22" max="22" width="22.42578125" customWidth="1" outlineLevel="2"/>
    <col min="23" max="23" width="16.28515625" style="49" customWidth="1" outlineLevel="2"/>
    <col min="24" max="24" width="23.28515625" style="1" customWidth="1" outlineLevel="2" collapsed="1"/>
    <col min="25" max="25" width="23.5703125" style="58" customWidth="1" outlineLevel="2"/>
    <col min="26" max="26" width="19.140625" style="4" customWidth="1" outlineLevel="2"/>
    <col min="27" max="27" width="21" style="59" customWidth="1" outlineLevel="2"/>
    <col min="28" max="28" width="18.28515625" customWidth="1" outlineLevel="2"/>
    <col min="29" max="29" width="18" customWidth="1" outlineLevel="2"/>
    <col min="30" max="30" width="21.5703125" style="58" customWidth="1" outlineLevel="2"/>
    <col min="31" max="31" width="18.5703125" customWidth="1" outlineLevel="2"/>
    <col min="32" max="32" width="31.28515625" customWidth="1" outlineLevel="2"/>
    <col min="33" max="33" width="31" style="60" customWidth="1" outlineLevel="2"/>
    <col min="34" max="34" width="23.140625" style="58" customWidth="1" outlineLevel="2"/>
    <col min="35" max="35" width="18.5703125" customWidth="1" outlineLevel="2"/>
    <col min="36" max="36" width="31.7109375" customWidth="1" outlineLevel="2"/>
    <col min="37" max="37" width="25.42578125" customWidth="1" outlineLevel="2"/>
    <col min="38" max="38" width="18.140625" style="58" customWidth="1" outlineLevel="2"/>
    <col min="39" max="39" width="22.140625" style="58" customWidth="1" outlineLevel="1"/>
    <col min="40" max="40" width="18.28515625" customWidth="1" outlineLevel="1"/>
    <col min="41" max="41" width="26.7109375" style="58" bestFit="1" customWidth="1" outlineLevel="1"/>
    <col min="42" max="42" width="17" customWidth="1" outlineLevel="1"/>
    <col min="43" max="43" width="14.5703125" bestFit="1" customWidth="1"/>
    <col min="44" max="44" width="32" bestFit="1" customWidth="1" outlineLevel="1"/>
    <col min="45" max="45" width="26" style="60" bestFit="1" customWidth="1" outlineLevel="1"/>
    <col min="46" max="46" width="29.140625" bestFit="1" customWidth="1" outlineLevel="1"/>
    <col min="47" max="47" width="18.85546875" style="60" customWidth="1" outlineLevel="1"/>
    <col min="48" max="48" width="19.5703125" customWidth="1" outlineLevel="1" collapsed="1"/>
    <col min="49" max="49" width="21.42578125" customWidth="1" outlineLevel="1"/>
    <col min="50" max="50" width="27.85546875" bestFit="1" customWidth="1" outlineLevel="1"/>
    <col min="51" max="51" width="19.140625" style="49" customWidth="1" outlineLevel="1"/>
    <col min="52" max="52" width="16.7109375" style="49" bestFit="1" customWidth="1"/>
    <col min="53" max="53" width="14.7109375" style="49" bestFit="1" customWidth="1"/>
    <col min="54" max="54" width="27.42578125" style="49" bestFit="1" customWidth="1"/>
    <col min="55" max="55" width="29.140625" style="49" bestFit="1" customWidth="1"/>
    <col min="56" max="56" width="19.5703125" style="49" bestFit="1" customWidth="1"/>
    <col min="57" max="58" width="21.42578125" style="58" bestFit="1" customWidth="1"/>
    <col min="59" max="59" width="17.5703125" bestFit="1" customWidth="1"/>
    <col min="60" max="60" width="30.42578125" style="60" bestFit="1" customWidth="1"/>
    <col min="61" max="61" width="15" style="58" bestFit="1" customWidth="1"/>
    <col min="62" max="62" width="27.140625" style="60" bestFit="1" customWidth="1"/>
    <col min="63" max="63" width="20.85546875" style="60" bestFit="1" customWidth="1"/>
    <col min="64" max="64" width="16.5703125" style="60" bestFit="1" customWidth="1"/>
    <col min="65" max="65" width="6.42578125" style="60" bestFit="1" customWidth="1"/>
    <col min="66" max="66" width="13.42578125" style="58" bestFit="1" customWidth="1"/>
    <col min="67" max="67" width="18.5703125" style="58" bestFit="1" customWidth="1"/>
    <col min="68" max="68" width="26.7109375" style="58" bestFit="1" customWidth="1"/>
    <col min="69" max="69" width="26.42578125" style="58" bestFit="1" customWidth="1"/>
    <col min="70" max="70" width="6" style="58" bestFit="1" customWidth="1"/>
    <col min="71" max="71" width="38.140625" style="58" bestFit="1" customWidth="1"/>
    <col min="72" max="72" width="17.28515625" style="1" bestFit="1" customWidth="1"/>
    <col min="73" max="73" width="36.85546875" style="4" customWidth="1"/>
    <col min="74" max="74" width="16.140625" style="4" customWidth="1"/>
    <col min="75" max="16384" width="8.85546875" style="3"/>
  </cols>
  <sheetData>
    <row r="1" spans="1:74" x14ac:dyDescent="0.25">
      <c r="B1" s="2"/>
      <c r="C1" s="3"/>
      <c r="E1" s="2"/>
      <c r="F1" s="5"/>
      <c r="G1" s="5"/>
      <c r="H1" s="2"/>
      <c r="I1" s="2"/>
      <c r="J1" s="2"/>
      <c r="L1" s="2"/>
      <c r="M1" s="2"/>
      <c r="N1" s="2"/>
      <c r="O1" s="2"/>
      <c r="P1" s="2"/>
      <c r="Q1" s="2"/>
      <c r="R1" s="7"/>
      <c r="S1" s="7"/>
      <c r="T1" s="8"/>
      <c r="U1" s="9"/>
      <c r="V1" s="7"/>
      <c r="W1" s="9"/>
      <c r="X1" s="9"/>
      <c r="Y1" s="9"/>
      <c r="Z1" s="7"/>
      <c r="AA1" s="7"/>
      <c r="AB1" s="9"/>
      <c r="AC1" s="9"/>
      <c r="AD1" s="9"/>
      <c r="AE1" s="10"/>
      <c r="AF1" s="9"/>
      <c r="AG1" s="9"/>
      <c r="AH1" s="9"/>
      <c r="AI1" s="7"/>
      <c r="AJ1" s="7"/>
      <c r="AK1" s="7"/>
      <c r="AL1" s="7"/>
      <c r="AM1" s="9"/>
      <c r="AN1" s="9"/>
      <c r="AO1" s="9"/>
      <c r="AP1" s="9"/>
      <c r="AQ1" s="9"/>
      <c r="AR1" s="9"/>
      <c r="AS1" s="9"/>
      <c r="AT1" s="9"/>
      <c r="AU1" s="9"/>
      <c r="AV1" s="5"/>
      <c r="AW1" s="5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</row>
    <row r="2" spans="1:74" s="20" customFormat="1" ht="18" x14ac:dyDescent="0.25">
      <c r="A2" s="11" t="s">
        <v>0</v>
      </c>
      <c r="B2" s="12" t="s">
        <v>1</v>
      </c>
      <c r="C2" s="12" t="s">
        <v>2</v>
      </c>
      <c r="D2" s="13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4" t="s">
        <v>17</v>
      </c>
      <c r="S2" s="14" t="s">
        <v>18</v>
      </c>
      <c r="T2" s="15" t="s">
        <v>19</v>
      </c>
      <c r="U2" s="16" t="s">
        <v>20</v>
      </c>
      <c r="V2" s="14" t="s">
        <v>21</v>
      </c>
      <c r="W2" s="16" t="s">
        <v>22</v>
      </c>
      <c r="X2" s="16" t="s">
        <v>23</v>
      </c>
      <c r="Y2" s="16" t="s">
        <v>24</v>
      </c>
      <c r="Z2" s="14" t="s">
        <v>25</v>
      </c>
      <c r="AA2" s="14" t="s">
        <v>26</v>
      </c>
      <c r="AB2" s="16" t="s">
        <v>27</v>
      </c>
      <c r="AC2" s="16" t="s">
        <v>28</v>
      </c>
      <c r="AD2" s="16" t="s">
        <v>29</v>
      </c>
      <c r="AE2" s="17" t="s">
        <v>30</v>
      </c>
      <c r="AF2" s="16" t="s">
        <v>31</v>
      </c>
      <c r="AG2" s="16" t="s">
        <v>32</v>
      </c>
      <c r="AH2" s="16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6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9" t="s">
        <v>47</v>
      </c>
      <c r="AW2" s="19" t="s">
        <v>48</v>
      </c>
      <c r="AX2" s="11" t="s">
        <v>49</v>
      </c>
    </row>
    <row r="3" spans="1:74" ht="15.75" customHeight="1" x14ac:dyDescent="0.25">
      <c r="A3" s="21">
        <v>1</v>
      </c>
      <c r="B3" s="22">
        <v>2</v>
      </c>
      <c r="C3" s="22">
        <v>1</v>
      </c>
      <c r="D3" s="22">
        <v>2</v>
      </c>
      <c r="E3" s="22">
        <v>3</v>
      </c>
      <c r="F3" s="22">
        <v>4</v>
      </c>
      <c r="G3" s="22">
        <v>0</v>
      </c>
      <c r="H3" s="22">
        <v>5</v>
      </c>
      <c r="I3" s="22">
        <v>6</v>
      </c>
      <c r="J3" s="22" t="e">
        <f>VLOOKUP(Table1[[#This Row],[Code]],[1]Training!$A$3:$J$569,8,FALSE)</f>
        <v>#N/A</v>
      </c>
      <c r="K3" s="6" t="e">
        <f>VLOOKUP(Table1[[#This Row],[Code]],[1]Training!$A$3:$J$569,9,FALSE)</f>
        <v>#N/A</v>
      </c>
      <c r="L3" s="22" t="e">
        <f>VLOOKUP(Table1[[#This Row],[Code]],[1]Training!$A$3:$J$569,10,FALSE)</f>
        <v>#N/A</v>
      </c>
      <c r="M3" s="22">
        <v>8</v>
      </c>
      <c r="N3" s="22"/>
      <c r="O3" s="23" t="e">
        <f>IF(DATEVALUE(MID(N3,15,10))-DATEVALUE(LEFT(N3,10))+1&gt;=365,"1 Year",
DATEDIF(DATEVALUE(LEFT(N3,10)),DATEVALUE(MID(N3,15,10)),"Y")&amp;" Years, "&amp;DATEDIF(DATEVALUE(LEFT(N3,10)),DATEVALUE(MID(N3,15,10)),"YM")&amp;" Months, "&amp;DATEDIF(DATEVALUE(LEFT(N3,10)),DATEVALUE(MID(N3,15,10)),"MD")&amp;" Days")</f>
        <v>#VALUE!</v>
      </c>
      <c r="P3" s="22"/>
      <c r="Q3" s="22"/>
      <c r="R3" s="22">
        <v>9</v>
      </c>
      <c r="S3" s="22">
        <v>10</v>
      </c>
      <c r="T3" s="22">
        <v>11</v>
      </c>
      <c r="U3" s="22">
        <v>12</v>
      </c>
      <c r="V3" s="22">
        <v>13</v>
      </c>
      <c r="W3" s="22">
        <v>14</v>
      </c>
      <c r="X3" s="22">
        <v>15</v>
      </c>
      <c r="Y3" s="22">
        <v>16</v>
      </c>
      <c r="Z3" s="22">
        <v>17</v>
      </c>
      <c r="AA3" s="22">
        <v>18</v>
      </c>
      <c r="AB3" s="22">
        <v>19</v>
      </c>
      <c r="AC3" s="22">
        <v>20</v>
      </c>
      <c r="AD3" s="22">
        <v>21</v>
      </c>
      <c r="AE3" s="22">
        <v>22</v>
      </c>
      <c r="AF3" s="22">
        <v>23</v>
      </c>
      <c r="AG3" s="22">
        <v>24</v>
      </c>
      <c r="AH3" s="22">
        <v>25</v>
      </c>
      <c r="AI3" s="22">
        <v>26</v>
      </c>
      <c r="AJ3" s="22">
        <v>27</v>
      </c>
      <c r="AK3" s="22">
        <v>28</v>
      </c>
      <c r="AL3" s="22">
        <v>29</v>
      </c>
      <c r="AM3" s="22">
        <v>30</v>
      </c>
      <c r="AN3" s="22">
        <v>31</v>
      </c>
      <c r="AO3" s="22">
        <v>32</v>
      </c>
      <c r="AP3" s="22">
        <v>33</v>
      </c>
      <c r="AQ3" s="22">
        <v>34</v>
      </c>
      <c r="AR3" s="22">
        <v>35</v>
      </c>
      <c r="AS3" s="22">
        <v>36</v>
      </c>
      <c r="AT3" s="22">
        <v>37</v>
      </c>
      <c r="AU3" s="24">
        <v>38</v>
      </c>
      <c r="AV3" s="24">
        <v>39</v>
      </c>
      <c r="AW3" s="24">
        <v>40</v>
      </c>
      <c r="AX3" s="11">
        <v>41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</row>
    <row r="4" spans="1:74" x14ac:dyDescent="0.25">
      <c r="A4" s="25">
        <v>1</v>
      </c>
      <c r="B4" s="23" t="s">
        <v>50</v>
      </c>
      <c r="C4" s="23" t="s">
        <v>51</v>
      </c>
      <c r="D4" s="26" t="s">
        <v>52</v>
      </c>
      <c r="E4" s="23">
        <v>20</v>
      </c>
      <c r="F4" s="23" t="s">
        <v>53</v>
      </c>
      <c r="G4" s="23">
        <f>VLOOKUP(C4,[2]Sheet2!$T$3:$V$92,3,FALSE)</f>
        <v>1</v>
      </c>
      <c r="H4" s="23" t="s">
        <v>54</v>
      </c>
      <c r="I4" s="23" t="s">
        <v>55</v>
      </c>
      <c r="J4" s="23"/>
      <c r="L4" s="23"/>
      <c r="M4" s="23"/>
      <c r="N4" s="23" t="s">
        <v>56</v>
      </c>
      <c r="O4" s="23" t="e">
        <f t="shared" ref="O4:O5" ca="1" si="0">IF(ISNUMBER(SEARCH("to", N4)),
_xlfn.LET(
    _xlpm.text_n3, N4,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4" s="23"/>
      <c r="Q4" s="23" t="s">
        <v>57</v>
      </c>
      <c r="R4" s="27"/>
      <c r="S4" s="27"/>
      <c r="T4" s="23"/>
      <c r="U4" s="28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 t="s">
        <v>42</v>
      </c>
      <c r="AN4" s="23" t="s">
        <v>58</v>
      </c>
      <c r="AO4" s="23" t="s">
        <v>58</v>
      </c>
      <c r="AP4" s="23" t="s">
        <v>58</v>
      </c>
      <c r="AQ4" s="23" t="s">
        <v>58</v>
      </c>
      <c r="AR4" s="23"/>
      <c r="AS4" s="23" t="str">
        <f>IF(AND(AN4="Yes", AO4="Yes", AP4="Yes"), "Yes", IF(AND(AN4="", AO4="", AP4=""), "No", "Incomplete"))</f>
        <v>Yes</v>
      </c>
      <c r="AT4" s="29" t="str">
        <f t="shared" ref="AT4:AT44" si="1">IF(AM4="Matric",IF(AN4="Yes","Yes",IF(AN4="Under Process", "Under Process","No")),IF(AM4="Inter",IF(AO4="Yes","Yes",IF(AO4="Under Process", "Under Process","No")),IF(AM4="Bachelor",IF(AP4="Yes","Yes",IF(AP4="Under Process", "Under Process","No")),IF(AM4="Master",IF(AQ4="Yes","Yes",IF(AQ4="Under Process", "Under Process","No")),IF(AM4="Vacant",IF(D12="Yes","No","Vacant"),IF(AM4="NA",IF(D12="Yes","No","NA"),"No"))))))</f>
        <v>Yes</v>
      </c>
      <c r="AU4" s="30"/>
      <c r="AV4" s="31"/>
      <c r="AW4" s="31" t="s">
        <v>59</v>
      </c>
      <c r="AX4" s="2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5">
      <c r="A5" s="25">
        <v>2</v>
      </c>
      <c r="B5" s="23" t="s">
        <v>60</v>
      </c>
      <c r="C5" s="23" t="s">
        <v>51</v>
      </c>
      <c r="D5" s="26" t="s">
        <v>61</v>
      </c>
      <c r="E5" s="23">
        <v>16</v>
      </c>
      <c r="F5" s="23" t="s">
        <v>62</v>
      </c>
      <c r="G5" s="23">
        <f>VLOOKUP(C5,[2]Sheet2!$T$3:$V$92,3,FALSE)</f>
        <v>1</v>
      </c>
      <c r="H5" s="23" t="s">
        <v>54</v>
      </c>
      <c r="I5" s="23" t="s">
        <v>55</v>
      </c>
      <c r="J5" s="23">
        <v>3</v>
      </c>
      <c r="K5" s="6">
        <v>0.72</v>
      </c>
      <c r="L5" s="23" t="s">
        <v>63</v>
      </c>
      <c r="M5" s="23"/>
      <c r="N5" s="23"/>
      <c r="O5" s="23" t="str">
        <f t="shared" si="0"/>
        <v/>
      </c>
      <c r="P5" s="23"/>
      <c r="Q5" s="23"/>
      <c r="R5" s="27">
        <v>42789</v>
      </c>
      <c r="S5" s="27">
        <v>45386</v>
      </c>
      <c r="T5" s="23">
        <v>50342789</v>
      </c>
      <c r="U5" s="28">
        <v>4250150635899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 t="s">
        <v>41</v>
      </c>
      <c r="AN5" s="32" t="s">
        <v>58</v>
      </c>
      <c r="AO5" s="32" t="s">
        <v>58</v>
      </c>
      <c r="AP5" s="32" t="s">
        <v>58</v>
      </c>
      <c r="AQ5" s="23"/>
      <c r="AR5" s="23"/>
      <c r="AS5" s="23" t="str">
        <f>IF(AND(AN5="Yes", AO5="Yes", AP5="Yes"), "Yes", IF(AND(AN5="", AO5="", AP5=""), "No", "Incomplete"))</f>
        <v>Yes</v>
      </c>
      <c r="AT5" s="29" t="str">
        <f t="shared" si="1"/>
        <v>Yes</v>
      </c>
      <c r="AU5" s="30"/>
      <c r="AV5" s="31" t="s">
        <v>64</v>
      </c>
      <c r="AW5" s="31" t="s">
        <v>59</v>
      </c>
      <c r="AX5" s="2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s="20" customFormat="1" ht="18" x14ac:dyDescent="0.25">
      <c r="A6" s="2">
        <v>3</v>
      </c>
      <c r="B6" s="33" t="s">
        <v>65</v>
      </c>
      <c r="C6" s="33" t="s">
        <v>51</v>
      </c>
      <c r="D6" s="34" t="s">
        <v>66</v>
      </c>
      <c r="E6" s="33">
        <v>15</v>
      </c>
      <c r="F6" s="33" t="s">
        <v>67</v>
      </c>
      <c r="G6" s="23">
        <f>VLOOKUP(C6,[2]Sheet2!$T$3:$V$92,3,FALSE)</f>
        <v>1</v>
      </c>
      <c r="H6" s="33" t="s">
        <v>68</v>
      </c>
      <c r="I6" s="33" t="s">
        <v>55</v>
      </c>
      <c r="J6" s="33"/>
      <c r="K6" s="6">
        <v>0</v>
      </c>
      <c r="L6" s="33"/>
      <c r="M6" s="33"/>
      <c r="N6" s="33"/>
      <c r="O6" s="23" t="str">
        <f t="shared" ref="O6:O16" si="2">IF(ISNUMBER(SEARCH("to", N6)),
_xlfn.LET(
    _xlpm.text_n3, N6,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6" s="33"/>
      <c r="Q6" s="33"/>
      <c r="R6" s="35"/>
      <c r="S6" s="35"/>
      <c r="T6" s="33"/>
      <c r="U6" s="36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 t="s">
        <v>66</v>
      </c>
      <c r="AN6" s="33"/>
      <c r="AO6" s="33"/>
      <c r="AP6" s="33"/>
      <c r="AQ6" s="33"/>
      <c r="AR6" s="33"/>
      <c r="AS6" s="33" t="str">
        <f>IF(AND(AN6="Yes", AO6="Yes", AP6="Yes"), "Yes", IF(AND(AN6="", AO6="", AP6=""), "No", "Incomplete"))</f>
        <v>No</v>
      </c>
      <c r="AT6" s="37" t="str">
        <f t="shared" si="1"/>
        <v>Vacant</v>
      </c>
      <c r="AU6" s="37"/>
      <c r="AV6" s="33"/>
      <c r="AW6" s="33"/>
      <c r="AX6" s="33"/>
    </row>
    <row r="7" spans="1:74" x14ac:dyDescent="0.25">
      <c r="A7" s="25">
        <v>4</v>
      </c>
      <c r="B7" s="23" t="s">
        <v>69</v>
      </c>
      <c r="C7" s="23" t="s">
        <v>51</v>
      </c>
      <c r="D7" s="26" t="s">
        <v>70</v>
      </c>
      <c r="E7" s="23">
        <v>5</v>
      </c>
      <c r="F7" s="23" t="s">
        <v>71</v>
      </c>
      <c r="G7" s="23">
        <f>VLOOKUP(C7,[2]Sheet2!$T$3:$V$92,3,FALSE)</f>
        <v>1</v>
      </c>
      <c r="H7" s="23" t="s">
        <v>68</v>
      </c>
      <c r="I7" s="23" t="s">
        <v>55</v>
      </c>
      <c r="J7" s="23">
        <v>2</v>
      </c>
      <c r="K7" s="6">
        <v>0.68</v>
      </c>
      <c r="L7" s="23" t="s">
        <v>72</v>
      </c>
      <c r="M7" s="23"/>
      <c r="N7" s="23"/>
      <c r="O7" s="23" t="str">
        <f t="shared" si="2"/>
        <v/>
      </c>
      <c r="P7" s="23"/>
      <c r="Q7" s="23"/>
      <c r="R7" s="27">
        <v>35381</v>
      </c>
      <c r="S7" s="27">
        <v>35381</v>
      </c>
      <c r="T7" s="23">
        <v>10112493</v>
      </c>
      <c r="U7" s="28">
        <v>4250171199875</v>
      </c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 t="s">
        <v>73</v>
      </c>
      <c r="AN7" s="23"/>
      <c r="AO7" s="23"/>
      <c r="AP7" s="23"/>
      <c r="AQ7" s="23"/>
      <c r="AR7" s="23"/>
      <c r="AS7" s="23" t="str">
        <f>IF(AND(AN7="Yes"), "Yes", IF(AND(AN7=""), "No", "Incomplete"))</f>
        <v>No</v>
      </c>
      <c r="AT7" s="29" t="str">
        <f t="shared" si="1"/>
        <v>NA</v>
      </c>
      <c r="AU7" s="30"/>
      <c r="AV7" s="31"/>
      <c r="AW7" s="38"/>
      <c r="AX7" s="2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5">
      <c r="A8" s="25">
        <v>5</v>
      </c>
      <c r="B8" s="23" t="s">
        <v>74</v>
      </c>
      <c r="C8" s="23" t="s">
        <v>51</v>
      </c>
      <c r="D8" s="26" t="s">
        <v>75</v>
      </c>
      <c r="E8" s="23">
        <v>4</v>
      </c>
      <c r="F8" s="23" t="s">
        <v>71</v>
      </c>
      <c r="G8" s="23">
        <f>VLOOKUP(C8,[2]Sheet2!$T$3:$V$92,3,FALSE)</f>
        <v>1</v>
      </c>
      <c r="H8" s="23" t="s">
        <v>68</v>
      </c>
      <c r="I8" s="23" t="s">
        <v>55</v>
      </c>
      <c r="J8" s="23">
        <v>1</v>
      </c>
      <c r="K8" s="6">
        <v>0.77</v>
      </c>
      <c r="L8" s="23" t="s">
        <v>76</v>
      </c>
      <c r="M8" s="23"/>
      <c r="N8" s="23"/>
      <c r="O8" s="23" t="str">
        <f t="shared" si="2"/>
        <v/>
      </c>
      <c r="P8" s="23"/>
      <c r="Q8" s="23"/>
      <c r="R8" s="27">
        <v>41646</v>
      </c>
      <c r="S8" s="27">
        <v>41646</v>
      </c>
      <c r="T8" s="23">
        <v>50205715</v>
      </c>
      <c r="U8" s="28">
        <v>4240119073719</v>
      </c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 t="s">
        <v>39</v>
      </c>
      <c r="AN8" s="39" t="s">
        <v>58</v>
      </c>
      <c r="AO8" s="23"/>
      <c r="AP8" s="23"/>
      <c r="AQ8" s="23"/>
      <c r="AR8" s="23"/>
      <c r="AS8" s="23" t="str">
        <f>IF(AND(AN8="Yes"), "Yes", IF(AND(AN8=""), "No", "Incomplete"))</f>
        <v>Yes</v>
      </c>
      <c r="AT8" s="29" t="str">
        <f t="shared" si="1"/>
        <v>Yes</v>
      </c>
      <c r="AU8" s="30"/>
      <c r="AV8" s="31"/>
      <c r="AW8" s="31" t="s">
        <v>59</v>
      </c>
      <c r="AX8" s="2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5">
      <c r="A9" s="25">
        <v>6</v>
      </c>
      <c r="B9" s="23" t="s">
        <v>77</v>
      </c>
      <c r="C9" s="23" t="s">
        <v>78</v>
      </c>
      <c r="D9" s="26" t="s">
        <v>79</v>
      </c>
      <c r="E9" s="23">
        <v>20</v>
      </c>
      <c r="F9" s="23" t="s">
        <v>80</v>
      </c>
      <c r="G9" s="23">
        <f>VLOOKUP(C9,[2]Sheet2!$T$3:$V$92,3,FALSE)</f>
        <v>2</v>
      </c>
      <c r="H9" s="23" t="s">
        <v>54</v>
      </c>
      <c r="I9" s="23" t="s">
        <v>55</v>
      </c>
      <c r="J9" s="23"/>
      <c r="L9" s="23"/>
      <c r="M9" s="23"/>
      <c r="N9" s="23" t="s">
        <v>81</v>
      </c>
      <c r="O9" s="23" t="e">
        <f t="shared" ca="1" si="2"/>
        <v>#NAME?</v>
      </c>
      <c r="P9" s="23"/>
      <c r="Q9" s="23" t="s">
        <v>82</v>
      </c>
      <c r="R9" s="27"/>
      <c r="S9" s="27"/>
      <c r="T9" s="23"/>
      <c r="U9" s="28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 t="s">
        <v>42</v>
      </c>
      <c r="AN9" s="32" t="s">
        <v>58</v>
      </c>
      <c r="AO9" s="32" t="s">
        <v>58</v>
      </c>
      <c r="AP9" s="32" t="s">
        <v>58</v>
      </c>
      <c r="AQ9" s="32" t="s">
        <v>58</v>
      </c>
      <c r="AR9" s="23"/>
      <c r="AS9" s="23" t="str">
        <f>IF(AND(AN9="Yes", AO9="Yes", AP9="Yes"), "Yes", IF(AND(AN9="", AO9="", AP9=""), "No", "Incomplete"))</f>
        <v>Yes</v>
      </c>
      <c r="AT9" s="29" t="str">
        <f t="shared" si="1"/>
        <v>Yes</v>
      </c>
      <c r="AU9" s="30"/>
      <c r="AV9" s="31"/>
      <c r="AW9" s="31" t="s">
        <v>59</v>
      </c>
      <c r="AX9" s="2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5">
      <c r="A10" s="25">
        <v>7</v>
      </c>
      <c r="B10" s="23" t="s">
        <v>83</v>
      </c>
      <c r="C10" s="23" t="s">
        <v>78</v>
      </c>
      <c r="D10" s="26" t="s">
        <v>84</v>
      </c>
      <c r="E10" s="23">
        <v>16</v>
      </c>
      <c r="F10" s="23" t="s">
        <v>62</v>
      </c>
      <c r="G10" s="23">
        <f>VLOOKUP(C10,[2]Sheet2!$T$3:$V$92,3,FALSE)</f>
        <v>2</v>
      </c>
      <c r="H10" s="23" t="s">
        <v>54</v>
      </c>
      <c r="I10" s="23" t="s">
        <v>55</v>
      </c>
      <c r="J10" s="23">
        <v>1</v>
      </c>
      <c r="K10" s="6">
        <v>0.56999999999999995</v>
      </c>
      <c r="L10" s="23" t="s">
        <v>85</v>
      </c>
      <c r="M10" s="23"/>
      <c r="N10" s="23"/>
      <c r="O10" s="23" t="str">
        <f t="shared" si="2"/>
        <v/>
      </c>
      <c r="P10" s="23"/>
      <c r="Q10" s="23"/>
      <c r="R10" s="27">
        <v>38790</v>
      </c>
      <c r="S10" s="27">
        <v>45386</v>
      </c>
      <c r="T10" s="23">
        <v>10248748</v>
      </c>
      <c r="U10" s="28">
        <v>4250145373375</v>
      </c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 t="s">
        <v>41</v>
      </c>
      <c r="AN10" s="23" t="s">
        <v>58</v>
      </c>
      <c r="AO10" s="23" t="s">
        <v>58</v>
      </c>
      <c r="AP10" s="23" t="s">
        <v>58</v>
      </c>
      <c r="AQ10" s="23"/>
      <c r="AR10" s="23"/>
      <c r="AS10" s="23" t="str">
        <f>IF(AND(AN10="Yes", AO10="Yes", AP10="Yes"), "Yes", IF(AND(AN10="", AO10="", AP10=""), "No", "Incomplete"))</f>
        <v>Yes</v>
      </c>
      <c r="AT10" s="29" t="str">
        <f t="shared" si="1"/>
        <v>Yes</v>
      </c>
      <c r="AU10" s="30"/>
      <c r="AV10" s="31"/>
      <c r="AW10" s="31" t="s">
        <v>59</v>
      </c>
      <c r="AX10" s="2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5">
      <c r="A11" s="25">
        <v>126</v>
      </c>
      <c r="B11" s="23" t="s">
        <v>86</v>
      </c>
      <c r="C11" s="23" t="s">
        <v>78</v>
      </c>
      <c r="D11" s="26" t="s">
        <v>87</v>
      </c>
      <c r="E11" s="23">
        <v>4</v>
      </c>
      <c r="F11" s="23" t="s">
        <v>71</v>
      </c>
      <c r="G11" s="23">
        <f>VLOOKUP(C11,[2]Sheet2!$T$3:$V$92,3,FALSE)</f>
        <v>2</v>
      </c>
      <c r="H11" s="23" t="s">
        <v>68</v>
      </c>
      <c r="I11" s="23" t="s">
        <v>55</v>
      </c>
      <c r="J11" s="23">
        <v>2</v>
      </c>
      <c r="K11" s="6">
        <v>0.5</v>
      </c>
      <c r="L11" s="23" t="s">
        <v>88</v>
      </c>
      <c r="M11" s="23"/>
      <c r="N11" s="23"/>
      <c r="O11" s="23" t="str">
        <f t="shared" si="2"/>
        <v/>
      </c>
      <c r="P11" s="23"/>
      <c r="Q11" s="23"/>
      <c r="R11" s="27">
        <v>39767</v>
      </c>
      <c r="S11" s="27">
        <v>39767</v>
      </c>
      <c r="T11" s="23">
        <v>10455847</v>
      </c>
      <c r="U11" s="28">
        <v>4210165807765</v>
      </c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 t="s">
        <v>73</v>
      </c>
      <c r="AN11" s="23"/>
      <c r="AO11" s="23"/>
      <c r="AP11" s="23"/>
      <c r="AQ11" s="23"/>
      <c r="AR11" s="23"/>
      <c r="AS11" s="23" t="str">
        <f>IF(AND(AN11="Yes"), "Yes", IF(AND(AN11=""), "No", "Incomplete"))</f>
        <v>No</v>
      </c>
      <c r="AT11" s="29" t="str">
        <f t="shared" si="1"/>
        <v>NA</v>
      </c>
      <c r="AU11" s="30"/>
      <c r="AV11" s="31"/>
      <c r="AW11" s="31"/>
      <c r="AX11" s="2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5">
      <c r="A12" s="25">
        <v>9</v>
      </c>
      <c r="B12" s="23" t="s">
        <v>89</v>
      </c>
      <c r="C12" s="23" t="s">
        <v>90</v>
      </c>
      <c r="D12" s="26" t="s">
        <v>66</v>
      </c>
      <c r="E12" s="23">
        <v>20</v>
      </c>
      <c r="F12" s="23" t="s">
        <v>91</v>
      </c>
      <c r="G12" s="23">
        <f>VLOOKUP(C12,[2]Sheet2!$T$3:$V$92,3,FALSE)</f>
        <v>3</v>
      </c>
      <c r="H12" s="23" t="s">
        <v>54</v>
      </c>
      <c r="I12" s="23" t="s">
        <v>55</v>
      </c>
      <c r="J12" s="23"/>
      <c r="L12" s="23"/>
      <c r="M12" s="23"/>
      <c r="N12" s="23"/>
      <c r="O12" s="23" t="str">
        <f t="shared" si="2"/>
        <v/>
      </c>
      <c r="P12" s="23"/>
      <c r="Q12" s="23"/>
      <c r="R12" s="27"/>
      <c r="S12" s="27"/>
      <c r="T12" s="23"/>
      <c r="U12" s="28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 t="s">
        <v>42</v>
      </c>
      <c r="AN12" s="40"/>
      <c r="AO12" s="40"/>
      <c r="AP12" s="40"/>
      <c r="AQ12" s="40"/>
      <c r="AR12" s="23"/>
      <c r="AS12" s="23" t="str">
        <f>IF(AND(AN12="Yes", AO12="Yes", AP12="Yes"), "Yes", IF(AND(AN12="", AO12="", AP12=""), "No", "Incomplete"))</f>
        <v>No</v>
      </c>
      <c r="AT12" s="29" t="str">
        <f t="shared" si="1"/>
        <v>No</v>
      </c>
      <c r="AU12" s="30"/>
      <c r="AV12" s="31"/>
      <c r="AW12" s="31"/>
      <c r="AX12" s="2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ht="28.5" x14ac:dyDescent="0.25">
      <c r="A13" s="25">
        <v>10</v>
      </c>
      <c r="B13" s="23" t="s">
        <v>92</v>
      </c>
      <c r="C13" s="23" t="s">
        <v>90</v>
      </c>
      <c r="D13" s="26" t="s">
        <v>93</v>
      </c>
      <c r="E13" s="23">
        <v>16</v>
      </c>
      <c r="F13" s="23" t="s">
        <v>62</v>
      </c>
      <c r="G13" s="23">
        <f>VLOOKUP(C13,[2]Sheet2!$T$3:$V$92,3,FALSE)</f>
        <v>3</v>
      </c>
      <c r="H13" s="23" t="s">
        <v>54</v>
      </c>
      <c r="I13" s="23" t="s">
        <v>55</v>
      </c>
      <c r="J13" s="23">
        <v>3</v>
      </c>
      <c r="K13" s="6">
        <v>0.75</v>
      </c>
      <c r="L13" s="23" t="s">
        <v>94</v>
      </c>
      <c r="M13" s="23"/>
      <c r="N13" s="23" t="s">
        <v>95</v>
      </c>
      <c r="O13" s="23" t="e">
        <f t="shared" ca="1" si="2"/>
        <v>#NAME?</v>
      </c>
      <c r="P13" s="23" t="s">
        <v>96</v>
      </c>
      <c r="Q13" s="23" t="s">
        <v>97</v>
      </c>
      <c r="R13" s="27">
        <v>38667</v>
      </c>
      <c r="S13" s="27">
        <v>45386</v>
      </c>
      <c r="T13" s="23">
        <v>10457975</v>
      </c>
      <c r="U13" s="28">
        <v>4310314071149</v>
      </c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 t="s">
        <v>42</v>
      </c>
      <c r="AN13" s="32" t="s">
        <v>58</v>
      </c>
      <c r="AO13" s="32" t="s">
        <v>58</v>
      </c>
      <c r="AP13" s="32" t="s">
        <v>58</v>
      </c>
      <c r="AQ13" s="32" t="s">
        <v>58</v>
      </c>
      <c r="AR13" s="23"/>
      <c r="AS13" s="23" t="str">
        <f>IF(AND(AN13="Yes", AO13="Yes", AP13="Yes"), "Yes", IF(AND(AN13="", AO13="", AP13=""), "No", "Incomplete"))</f>
        <v>Yes</v>
      </c>
      <c r="AT13" s="29" t="str">
        <f t="shared" si="1"/>
        <v>Yes</v>
      </c>
      <c r="AU13" s="30"/>
      <c r="AV13" s="31"/>
      <c r="AW13" s="31" t="s">
        <v>59</v>
      </c>
      <c r="AX13" s="2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ht="30" customHeight="1" x14ac:dyDescent="0.25">
      <c r="A14" s="25">
        <v>11</v>
      </c>
      <c r="B14" s="23" t="s">
        <v>98</v>
      </c>
      <c r="C14" s="23" t="s">
        <v>90</v>
      </c>
      <c r="D14" s="26" t="s">
        <v>99</v>
      </c>
      <c r="E14" s="23">
        <v>4</v>
      </c>
      <c r="F14" s="23" t="s">
        <v>71</v>
      </c>
      <c r="G14" s="23">
        <f>VLOOKUP(C14,[2]Sheet2!$T$3:$V$92,3,FALSE)</f>
        <v>3</v>
      </c>
      <c r="H14" s="23" t="s">
        <v>68</v>
      </c>
      <c r="I14" s="23" t="s">
        <v>55</v>
      </c>
      <c r="J14" s="23">
        <v>1</v>
      </c>
      <c r="K14" s="6">
        <v>0.64</v>
      </c>
      <c r="L14" s="23" t="s">
        <v>100</v>
      </c>
      <c r="M14" s="23"/>
      <c r="N14" s="23"/>
      <c r="O14" s="23" t="str">
        <f t="shared" si="2"/>
        <v/>
      </c>
      <c r="P14" s="23"/>
      <c r="Q14" s="23"/>
      <c r="R14" s="27">
        <v>1225521</v>
      </c>
      <c r="S14" s="27">
        <v>45488</v>
      </c>
      <c r="T14" s="23">
        <v>50700470</v>
      </c>
      <c r="U14" s="28">
        <v>4240161946641</v>
      </c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 t="s">
        <v>41</v>
      </c>
      <c r="AN14" s="32" t="s">
        <v>58</v>
      </c>
      <c r="AO14" s="32" t="s">
        <v>58</v>
      </c>
      <c r="AP14" s="32" t="s">
        <v>58</v>
      </c>
      <c r="AQ14" s="23"/>
      <c r="AR14" s="23"/>
      <c r="AS14" s="23" t="str">
        <f>IF(AND(AN14="Yes", AO14="Yes", AP14="Yes"), "Yes", IF(AND(AN14="", AO14="", AP14=""), "No", "Incomplete"))</f>
        <v>Yes</v>
      </c>
      <c r="AT14" s="29" t="str">
        <f t="shared" si="1"/>
        <v>Yes</v>
      </c>
      <c r="AU14" s="30"/>
      <c r="AV14" s="31" t="s">
        <v>64</v>
      </c>
      <c r="AW14" s="31"/>
      <c r="AX14" s="2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5">
      <c r="A15" s="25">
        <v>12</v>
      </c>
      <c r="B15" s="23" t="s">
        <v>101</v>
      </c>
      <c r="C15" s="23" t="s">
        <v>102</v>
      </c>
      <c r="D15" s="26" t="s">
        <v>103</v>
      </c>
      <c r="E15" s="23">
        <v>19</v>
      </c>
      <c r="F15" s="23" t="s">
        <v>104</v>
      </c>
      <c r="G15" s="23">
        <f>VLOOKUP(C15,[2]Sheet2!$T$3:$V$92,3,FALSE)</f>
        <v>4</v>
      </c>
      <c r="H15" s="23" t="s">
        <v>54</v>
      </c>
      <c r="I15" s="23" t="s">
        <v>55</v>
      </c>
      <c r="J15" s="23"/>
      <c r="L15" s="23"/>
      <c r="M15" s="23"/>
      <c r="N15" s="23" t="s">
        <v>105</v>
      </c>
      <c r="O15" s="23" t="e">
        <f t="shared" ca="1" si="2"/>
        <v>#NAME?</v>
      </c>
      <c r="P15" s="23"/>
      <c r="Q15" s="23" t="s">
        <v>82</v>
      </c>
      <c r="R15" s="27"/>
      <c r="S15" s="27"/>
      <c r="T15" s="23">
        <v>10164272</v>
      </c>
      <c r="U15" s="28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 t="s">
        <v>106</v>
      </c>
      <c r="AN15" s="23"/>
      <c r="AO15" s="23"/>
      <c r="AP15" s="23"/>
      <c r="AQ15" s="23"/>
      <c r="AR15" s="23" t="s">
        <v>106</v>
      </c>
      <c r="AS15" s="23" t="str">
        <f>IF(AND(AN15="Yes", AO15="Yes", AP15="Yes"), "Yes", IF(AND(AN15="", AO15="", AP15=""), "No", "Incomplete"))</f>
        <v>No</v>
      </c>
      <c r="AT15" s="29" t="str">
        <f t="shared" si="1"/>
        <v>No</v>
      </c>
      <c r="AU15" s="30"/>
      <c r="AV15" s="31"/>
      <c r="AW15" s="31" t="s">
        <v>59</v>
      </c>
      <c r="AX15" s="2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5">
      <c r="A16" s="25">
        <v>13</v>
      </c>
      <c r="B16" s="23" t="s">
        <v>107</v>
      </c>
      <c r="C16" s="23" t="s">
        <v>102</v>
      </c>
      <c r="D16" s="26" t="s">
        <v>66</v>
      </c>
      <c r="E16" s="23">
        <v>14</v>
      </c>
      <c r="F16" s="23" t="s">
        <v>108</v>
      </c>
      <c r="G16" s="23">
        <f>VLOOKUP(C16,[2]Sheet2!$T$3:$V$92,3,FALSE)</f>
        <v>4</v>
      </c>
      <c r="H16" s="23" t="s">
        <v>68</v>
      </c>
      <c r="I16" s="23" t="s">
        <v>55</v>
      </c>
      <c r="J16" s="23" t="e">
        <v>#N/A</v>
      </c>
      <c r="K16" s="6" t="e">
        <v>#N/A</v>
      </c>
      <c r="L16" s="23" t="e">
        <v>#N/A</v>
      </c>
      <c r="M16" s="23"/>
      <c r="N16" s="23"/>
      <c r="O16" s="23" t="str">
        <f t="shared" si="2"/>
        <v/>
      </c>
      <c r="P16" s="23"/>
      <c r="Q16" s="23"/>
      <c r="R16" s="27"/>
      <c r="S16" s="27"/>
      <c r="T16" s="23"/>
      <c r="U16" s="28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 t="s">
        <v>66</v>
      </c>
      <c r="AN16" s="23"/>
      <c r="AO16" s="23"/>
      <c r="AP16" s="23"/>
      <c r="AQ16" s="23"/>
      <c r="AR16" s="23"/>
      <c r="AS16" s="23" t="str">
        <f>IF(AND(AN16="Yes", AO16="Yes", AP16="Yes"), "Yes", IF(AND(AN16="", AO16="", AP16=""), "No", "Incomplete"))</f>
        <v>No</v>
      </c>
      <c r="AT16" s="29" t="str">
        <f t="shared" si="1"/>
        <v>Vacant</v>
      </c>
      <c r="AU16" s="30"/>
      <c r="AV16" s="31"/>
      <c r="AW16" s="31"/>
      <c r="AX16" s="2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</row>
    <row r="17" spans="1:74" ht="49.5" customHeight="1" x14ac:dyDescent="0.25">
      <c r="A17" s="25">
        <v>590</v>
      </c>
      <c r="B17" s="23" t="s">
        <v>109</v>
      </c>
      <c r="C17" s="23" t="s">
        <v>102</v>
      </c>
      <c r="D17" s="26" t="s">
        <v>110</v>
      </c>
      <c r="E17" s="23">
        <v>4</v>
      </c>
      <c r="F17" s="23" t="s">
        <v>71</v>
      </c>
      <c r="G17" s="23">
        <f>VLOOKUP(C17,[2]Sheet2!$T$3:$V$92,3,FALSE)</f>
        <v>4</v>
      </c>
      <c r="H17" s="23" t="s">
        <v>68</v>
      </c>
      <c r="I17" s="23" t="s">
        <v>55</v>
      </c>
      <c r="J17" s="23">
        <v>1</v>
      </c>
      <c r="K17" s="6">
        <v>0.6</v>
      </c>
      <c r="L17" s="23" t="s">
        <v>111</v>
      </c>
      <c r="M17" s="23"/>
      <c r="N17" s="23"/>
      <c r="O17" s="23" t="e">
        <f>IF(DATEVALUE(MID(N17,15,10))-DATEVALUE(LEFT(N17,10))+1&gt;=365,"1 Year",
DATEDIF(DATEVALUE(LEFT(N17,10)),DATEVALUE(MID(N17,15,10)),"Y")&amp;" Years, "&amp;DATEDIF(DATEVALUE(LEFT(N17,10)),DATEVALUE(MID(N17,15,10)),"YM")&amp;" Months, "&amp;DATEDIF(DATEVALUE(LEFT(N17,10)),DATEVALUE(MID(N17,15,10)),"MD")&amp;" Days")</f>
        <v>#VALUE!</v>
      </c>
      <c r="P17" s="23"/>
      <c r="Q17" s="23"/>
      <c r="R17" s="27"/>
      <c r="S17" s="27"/>
      <c r="T17" s="23">
        <v>50703466</v>
      </c>
      <c r="U17" s="28">
        <v>4320194066661</v>
      </c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 t="s">
        <v>39</v>
      </c>
      <c r="AN17" s="23" t="s">
        <v>58</v>
      </c>
      <c r="AO17" s="23"/>
      <c r="AP17" s="23"/>
      <c r="AQ17" s="23"/>
      <c r="AR17" s="23"/>
      <c r="AS17" s="23" t="str">
        <f>IF(AND(AN17="Yes"), "Yes", IF(AND(AN17=""), "No", "Incomplete"))</f>
        <v>Yes</v>
      </c>
      <c r="AT17" s="29" t="str">
        <f t="shared" si="1"/>
        <v>Yes</v>
      </c>
      <c r="AU17" s="30"/>
      <c r="AV17" s="31" t="s">
        <v>64</v>
      </c>
      <c r="AW17" s="31" t="s">
        <v>59</v>
      </c>
      <c r="AX17" s="2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</row>
    <row r="18" spans="1:74" x14ac:dyDescent="0.25">
      <c r="A18" s="25">
        <v>15</v>
      </c>
      <c r="B18" s="23" t="s">
        <v>112</v>
      </c>
      <c r="C18" s="23" t="s">
        <v>113</v>
      </c>
      <c r="D18" s="26" t="s">
        <v>114</v>
      </c>
      <c r="E18" s="23">
        <v>18</v>
      </c>
      <c r="F18" s="23" t="s">
        <v>115</v>
      </c>
      <c r="G18" s="23">
        <f>VLOOKUP(C18,[2]Sheet2!$T$3:$V$92,3,FALSE)</f>
        <v>5</v>
      </c>
      <c r="H18" s="23" t="s">
        <v>54</v>
      </c>
      <c r="I18" s="23" t="s">
        <v>55</v>
      </c>
      <c r="J18" s="23"/>
      <c r="L18" s="23"/>
      <c r="M18" s="23"/>
      <c r="N18" s="23" t="s">
        <v>116</v>
      </c>
      <c r="O18" s="23" t="e">
        <f t="shared" ref="O18:O49" ca="1" si="3">IF(ISNUMBER(SEARCH("to", N18)),
_xlfn.LET(
    _xlpm.text_n3, N18,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18" s="23"/>
      <c r="Q18" s="23" t="s">
        <v>57</v>
      </c>
      <c r="R18" s="27"/>
      <c r="S18" s="27"/>
      <c r="T18" s="23"/>
      <c r="U18" s="28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 t="s">
        <v>42</v>
      </c>
      <c r="AN18" s="32" t="s">
        <v>58</v>
      </c>
      <c r="AO18" s="32" t="s">
        <v>58</v>
      </c>
      <c r="AP18" s="32" t="s">
        <v>58</v>
      </c>
      <c r="AQ18" s="32" t="s">
        <v>58</v>
      </c>
      <c r="AR18" s="23"/>
      <c r="AS18" s="23" t="str">
        <f>IF(AND(AN18="Yes", AO18="Yes", AP18="Yes"), "Yes", IF(AND(AN18="", AO18="", AP18=""), "No", "Incomplete"))</f>
        <v>Yes</v>
      </c>
      <c r="AT18" s="29" t="str">
        <f t="shared" si="1"/>
        <v>Yes</v>
      </c>
      <c r="AU18" s="30"/>
      <c r="AV18" s="31"/>
      <c r="AW18" s="31"/>
      <c r="AX18" s="2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</row>
    <row r="19" spans="1:74" ht="28.5" x14ac:dyDescent="0.25">
      <c r="A19" s="25">
        <v>16</v>
      </c>
      <c r="B19" s="23" t="s">
        <v>117</v>
      </c>
      <c r="C19" s="23" t="s">
        <v>113</v>
      </c>
      <c r="D19" s="26" t="s">
        <v>118</v>
      </c>
      <c r="E19" s="23">
        <v>17</v>
      </c>
      <c r="F19" s="23" t="s">
        <v>119</v>
      </c>
      <c r="G19" s="23">
        <f>VLOOKUP(C19,[2]Sheet2!$T$3:$V$92,3,FALSE)</f>
        <v>5</v>
      </c>
      <c r="H19" s="23" t="s">
        <v>54</v>
      </c>
      <c r="I19" s="23" t="s">
        <v>55</v>
      </c>
      <c r="J19" s="23"/>
      <c r="L19" s="23"/>
      <c r="M19" s="23"/>
      <c r="N19" s="23" t="s">
        <v>120</v>
      </c>
      <c r="O19" s="23" t="e">
        <f t="shared" ca="1" si="3"/>
        <v>#NAME?</v>
      </c>
      <c r="P19" s="23"/>
      <c r="Q19" s="23" t="s">
        <v>57</v>
      </c>
      <c r="R19" s="27">
        <v>44380</v>
      </c>
      <c r="S19" s="27">
        <v>45160</v>
      </c>
      <c r="T19" s="23">
        <v>50621482</v>
      </c>
      <c r="U19" s="28">
        <v>4230111538571</v>
      </c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 t="s">
        <v>42</v>
      </c>
      <c r="AN19" s="23" t="s">
        <v>121</v>
      </c>
      <c r="AO19" s="23" t="s">
        <v>121</v>
      </c>
      <c r="AP19" s="23" t="s">
        <v>58</v>
      </c>
      <c r="AQ19" s="23" t="s">
        <v>58</v>
      </c>
      <c r="AR19" s="23" t="s">
        <v>122</v>
      </c>
      <c r="AS19" s="23" t="str">
        <f>IF(AND(AN19="Yes", AO19="Yes", AP19="Yes"), "Yes", IF(AND(AN19="", AO19="", AP19=""), "No", "Incomplete"))</f>
        <v>Incomplete</v>
      </c>
      <c r="AT19" s="29" t="str">
        <f t="shared" si="1"/>
        <v>Yes</v>
      </c>
      <c r="AU19" s="30"/>
      <c r="AV19" s="31"/>
      <c r="AW19" s="31" t="s">
        <v>59</v>
      </c>
      <c r="AX19" s="2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</row>
    <row r="20" spans="1:74" x14ac:dyDescent="0.25">
      <c r="A20" s="25">
        <v>208</v>
      </c>
      <c r="B20" s="23" t="s">
        <v>123</v>
      </c>
      <c r="C20" s="23" t="s">
        <v>113</v>
      </c>
      <c r="D20" s="26" t="s">
        <v>66</v>
      </c>
      <c r="E20" s="23">
        <v>15</v>
      </c>
      <c r="F20" s="23" t="s">
        <v>67</v>
      </c>
      <c r="G20" s="23">
        <f>VLOOKUP(C20,[2]Sheet2!$T$3:$V$92,3,FALSE)</f>
        <v>5</v>
      </c>
      <c r="H20" s="23" t="s">
        <v>68</v>
      </c>
      <c r="I20" s="23" t="s">
        <v>55</v>
      </c>
      <c r="J20" s="23"/>
      <c r="K20" s="6">
        <v>0</v>
      </c>
      <c r="L20" s="23"/>
      <c r="M20" s="23"/>
      <c r="N20" s="23"/>
      <c r="O20" s="23" t="str">
        <f t="shared" si="3"/>
        <v/>
      </c>
      <c r="P20" s="23"/>
      <c r="Q20" s="23"/>
      <c r="R20" s="27"/>
      <c r="S20" s="27"/>
      <c r="T20" s="23"/>
      <c r="U20" s="28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 t="s">
        <v>66</v>
      </c>
      <c r="AN20" s="23"/>
      <c r="AO20" s="23"/>
      <c r="AP20" s="23"/>
      <c r="AQ20" s="23"/>
      <c r="AR20" s="23"/>
      <c r="AS20" s="23" t="str">
        <f>IF(AND(AN20="Yes", AO20="Yes", AP20="Yes"), "Yes", IF(AND(AN20="", AO20="", AP20=""), "No", "Incomplete"))</f>
        <v>No</v>
      </c>
      <c r="AT20" s="29" t="str">
        <f t="shared" si="1"/>
        <v>Vacant</v>
      </c>
      <c r="AU20" s="30"/>
      <c r="AV20" s="31"/>
      <c r="AW20" s="31"/>
      <c r="AX20" s="2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</row>
    <row r="21" spans="1:74" x14ac:dyDescent="0.25">
      <c r="A21" s="25">
        <v>18</v>
      </c>
      <c r="B21" s="23" t="s">
        <v>124</v>
      </c>
      <c r="C21" s="23" t="s">
        <v>113</v>
      </c>
      <c r="D21" s="26" t="s">
        <v>125</v>
      </c>
      <c r="E21" s="23">
        <v>15</v>
      </c>
      <c r="F21" s="23" t="s">
        <v>126</v>
      </c>
      <c r="G21" s="23">
        <f>VLOOKUP(C21,[2]Sheet2!$T$3:$V$92,3,FALSE)</f>
        <v>5</v>
      </c>
      <c r="H21" s="23" t="s">
        <v>68</v>
      </c>
      <c r="I21" s="23" t="s">
        <v>55</v>
      </c>
      <c r="J21" s="23">
        <v>3</v>
      </c>
      <c r="K21" s="6">
        <v>0.68</v>
      </c>
      <c r="L21" s="23" t="s">
        <v>127</v>
      </c>
      <c r="M21" s="23"/>
      <c r="N21" s="23"/>
      <c r="O21" s="23" t="str">
        <f t="shared" si="3"/>
        <v/>
      </c>
      <c r="P21" s="23"/>
      <c r="Q21" s="23"/>
      <c r="R21" s="27">
        <v>39255</v>
      </c>
      <c r="S21" s="27">
        <v>44617</v>
      </c>
      <c r="T21" s="23">
        <v>10362288</v>
      </c>
      <c r="U21" s="28">
        <v>4530258767823</v>
      </c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 t="s">
        <v>42</v>
      </c>
      <c r="AN21" s="32" t="s">
        <v>58</v>
      </c>
      <c r="AO21" s="32" t="s">
        <v>58</v>
      </c>
      <c r="AP21" s="32" t="s">
        <v>58</v>
      </c>
      <c r="AQ21" s="32" t="s">
        <v>58</v>
      </c>
      <c r="AR21" s="23"/>
      <c r="AS21" s="23" t="str">
        <f>IF(AND(AN21="Yes", AO21="Yes", AP21="Yes"), "Yes", IF(AND(AN21="", AO21="", AP21=""), "No", "Incomplete"))</f>
        <v>Yes</v>
      </c>
      <c r="AT21" s="29" t="str">
        <f t="shared" si="1"/>
        <v>Yes</v>
      </c>
      <c r="AU21" s="30"/>
      <c r="AV21" s="31"/>
      <c r="AW21" s="31" t="s">
        <v>59</v>
      </c>
      <c r="AX21" s="2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</row>
    <row r="22" spans="1:74" x14ac:dyDescent="0.25">
      <c r="A22" s="25">
        <v>19</v>
      </c>
      <c r="B22" s="23" t="s">
        <v>128</v>
      </c>
      <c r="C22" s="23" t="s">
        <v>113</v>
      </c>
      <c r="D22" s="41" t="s">
        <v>66</v>
      </c>
      <c r="E22" s="23">
        <v>14</v>
      </c>
      <c r="F22" s="23" t="s">
        <v>108</v>
      </c>
      <c r="G22" s="23">
        <f>VLOOKUP(C22,[2]Sheet2!$T$3:$V$92,3,FALSE)</f>
        <v>5</v>
      </c>
      <c r="H22" s="23" t="s">
        <v>68</v>
      </c>
      <c r="I22" s="23" t="s">
        <v>55</v>
      </c>
      <c r="J22" s="23"/>
      <c r="K22" s="6">
        <v>0</v>
      </c>
      <c r="L22" s="23"/>
      <c r="M22" s="23"/>
      <c r="N22" s="23"/>
      <c r="O22" s="23" t="str">
        <f t="shared" si="3"/>
        <v/>
      </c>
      <c r="P22" s="23"/>
      <c r="Q22" s="23"/>
      <c r="R22" s="27">
        <v>45957</v>
      </c>
      <c r="S22" s="27">
        <v>45957</v>
      </c>
      <c r="T22" s="23"/>
      <c r="U22" s="28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 t="s">
        <v>41</v>
      </c>
      <c r="AN22" s="23"/>
      <c r="AO22" s="23"/>
      <c r="AP22" s="23"/>
      <c r="AQ22" s="23"/>
      <c r="AR22" s="23"/>
      <c r="AS22" s="23" t="str">
        <f>IF(AND(AN22="Yes", AO22="Yes", AP22="Yes"), "Yes", IF(AND(AN22="", AO22="", AP22=""), "No", "Incomplete"))</f>
        <v>No</v>
      </c>
      <c r="AT22" s="29" t="str">
        <f t="shared" si="1"/>
        <v>No</v>
      </c>
      <c r="AU22" s="30"/>
      <c r="AV22" s="31"/>
      <c r="AW22" s="31"/>
      <c r="AX22" s="2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</row>
    <row r="23" spans="1:74" x14ac:dyDescent="0.25">
      <c r="A23" s="25">
        <v>20</v>
      </c>
      <c r="B23" s="23" t="s">
        <v>129</v>
      </c>
      <c r="C23" s="23" t="s">
        <v>113</v>
      </c>
      <c r="D23" s="26" t="s">
        <v>130</v>
      </c>
      <c r="E23" s="23">
        <v>13</v>
      </c>
      <c r="F23" s="23" t="s">
        <v>131</v>
      </c>
      <c r="G23" s="23">
        <f>VLOOKUP(C23,[2]Sheet2!$T$3:$V$92,3,FALSE)</f>
        <v>5</v>
      </c>
      <c r="H23" s="23" t="s">
        <v>68</v>
      </c>
      <c r="I23" s="23" t="s">
        <v>55</v>
      </c>
      <c r="J23" s="23">
        <v>1</v>
      </c>
      <c r="K23" s="6">
        <v>0.79</v>
      </c>
      <c r="L23" s="23" t="s">
        <v>132</v>
      </c>
      <c r="M23" s="23"/>
      <c r="N23" s="23"/>
      <c r="O23" s="23" t="str">
        <f t="shared" si="3"/>
        <v/>
      </c>
      <c r="P23" s="23"/>
      <c r="Q23" s="23"/>
      <c r="R23" s="27">
        <v>43062</v>
      </c>
      <c r="S23" s="27">
        <v>44694</v>
      </c>
      <c r="T23" s="23">
        <v>50378412</v>
      </c>
      <c r="U23" s="28">
        <v>4250199810611</v>
      </c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 t="s">
        <v>42</v>
      </c>
      <c r="AN23" s="32" t="s">
        <v>58</v>
      </c>
      <c r="AO23" s="32" t="s">
        <v>58</v>
      </c>
      <c r="AP23" s="32" t="s">
        <v>58</v>
      </c>
      <c r="AQ23" s="32" t="s">
        <v>58</v>
      </c>
      <c r="AR23" s="23"/>
      <c r="AS23" s="23" t="str">
        <f>IF(AND(AN23="Yes", AO23="Yes"), "Yes", IF(AND(AN23="", AO23=""), "No", "Incomplete"))</f>
        <v>Yes</v>
      </c>
      <c r="AT23" s="29" t="str">
        <f t="shared" si="1"/>
        <v>Yes</v>
      </c>
      <c r="AU23" s="30"/>
      <c r="AV23" s="31"/>
      <c r="AW23" s="31" t="s">
        <v>59</v>
      </c>
      <c r="AX23" s="2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</row>
    <row r="24" spans="1:74" x14ac:dyDescent="0.25">
      <c r="A24" s="25">
        <v>21</v>
      </c>
      <c r="B24" s="23" t="s">
        <v>133</v>
      </c>
      <c r="C24" s="23" t="s">
        <v>113</v>
      </c>
      <c r="D24" s="26" t="s">
        <v>134</v>
      </c>
      <c r="E24" s="23">
        <v>13</v>
      </c>
      <c r="F24" s="23" t="s">
        <v>131</v>
      </c>
      <c r="G24" s="23">
        <f>VLOOKUP(C24,[2]Sheet2!$T$3:$V$92,3,FALSE)</f>
        <v>5</v>
      </c>
      <c r="H24" s="23" t="s">
        <v>68</v>
      </c>
      <c r="I24" s="23" t="s">
        <v>55</v>
      </c>
      <c r="J24" s="23">
        <v>3</v>
      </c>
      <c r="K24" s="6">
        <v>0.63</v>
      </c>
      <c r="L24" s="23" t="s">
        <v>135</v>
      </c>
      <c r="M24" s="23"/>
      <c r="N24" s="23"/>
      <c r="O24" s="23" t="str">
        <f t="shared" si="3"/>
        <v/>
      </c>
      <c r="P24" s="23"/>
      <c r="Q24" s="23"/>
      <c r="R24" s="27">
        <v>38668</v>
      </c>
      <c r="S24" s="27">
        <v>44769</v>
      </c>
      <c r="T24" s="23">
        <v>10440565</v>
      </c>
      <c r="U24" s="28">
        <v>4530487274411</v>
      </c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 t="s">
        <v>40</v>
      </c>
      <c r="AN24" s="32" t="s">
        <v>58</v>
      </c>
      <c r="AO24" s="23" t="s">
        <v>58</v>
      </c>
      <c r="AP24" s="23"/>
      <c r="AQ24" s="23"/>
      <c r="AR24" s="23"/>
      <c r="AS24" s="23" t="str">
        <f>IF(AND(AN24="Yes", AO24="Yes"), "Yes", IF(AND(AN24="", AO24=""), "No", "Incomplete"))</f>
        <v>Yes</v>
      </c>
      <c r="AT24" s="29" t="str">
        <f t="shared" si="1"/>
        <v>Yes</v>
      </c>
      <c r="AU24" s="30"/>
      <c r="AV24" s="31" t="s">
        <v>64</v>
      </c>
      <c r="AW24" s="31"/>
      <c r="AX24" s="2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</row>
    <row r="25" spans="1:74" x14ac:dyDescent="0.25">
      <c r="A25" s="25">
        <v>22</v>
      </c>
      <c r="B25" s="23" t="s">
        <v>136</v>
      </c>
      <c r="C25" s="23" t="s">
        <v>113</v>
      </c>
      <c r="D25" s="26" t="s">
        <v>137</v>
      </c>
      <c r="E25" s="23">
        <v>11</v>
      </c>
      <c r="F25" s="23" t="s">
        <v>138</v>
      </c>
      <c r="G25" s="23">
        <f>VLOOKUP(C25,[2]Sheet2!$T$3:$V$92,3,FALSE)</f>
        <v>5</v>
      </c>
      <c r="H25" s="23" t="s">
        <v>68</v>
      </c>
      <c r="I25" s="23" t="s">
        <v>55</v>
      </c>
      <c r="J25" s="23">
        <v>3</v>
      </c>
      <c r="K25" s="6">
        <v>0.75</v>
      </c>
      <c r="L25" s="23" t="s">
        <v>139</v>
      </c>
      <c r="M25" s="23"/>
      <c r="N25" s="23"/>
      <c r="O25" s="23" t="str">
        <f t="shared" si="3"/>
        <v/>
      </c>
      <c r="P25" s="23"/>
      <c r="Q25" s="23"/>
      <c r="R25" s="27">
        <v>45125</v>
      </c>
      <c r="S25" s="27">
        <v>45125</v>
      </c>
      <c r="T25" s="23">
        <v>50750188</v>
      </c>
      <c r="U25" s="28">
        <v>4240169209684</v>
      </c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 t="s">
        <v>40</v>
      </c>
      <c r="AN25" s="23" t="s">
        <v>58</v>
      </c>
      <c r="AO25" s="23" t="s">
        <v>58</v>
      </c>
      <c r="AP25" s="23"/>
      <c r="AQ25" s="23"/>
      <c r="AR25" s="23"/>
      <c r="AS25" s="23" t="str">
        <f t="shared" ref="AS25:AS48" si="4">IF(AND(AN25="Yes"), "Yes", IF(AND(AN25=""), "No", "Incomplete"))</f>
        <v>Yes</v>
      </c>
      <c r="AT25" s="29" t="str">
        <f t="shared" si="1"/>
        <v>Yes</v>
      </c>
      <c r="AU25" s="30"/>
      <c r="AV25" s="31"/>
      <c r="AW25" s="31" t="s">
        <v>59</v>
      </c>
      <c r="AX25" s="2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1:74" x14ac:dyDescent="0.25">
      <c r="A26" s="25">
        <v>23</v>
      </c>
      <c r="B26" s="23" t="s">
        <v>140</v>
      </c>
      <c r="C26" s="23" t="s">
        <v>113</v>
      </c>
      <c r="D26" s="26" t="s">
        <v>141</v>
      </c>
      <c r="E26" s="23">
        <v>11</v>
      </c>
      <c r="F26" s="23" t="s">
        <v>138</v>
      </c>
      <c r="G26" s="23">
        <f>VLOOKUP(C26,[2]Sheet2!$T$3:$V$92,3,FALSE)</f>
        <v>5</v>
      </c>
      <c r="H26" s="23" t="s">
        <v>68</v>
      </c>
      <c r="I26" s="23" t="s">
        <v>55</v>
      </c>
      <c r="J26" s="23">
        <v>2</v>
      </c>
      <c r="K26" s="6">
        <v>0.8</v>
      </c>
      <c r="L26" s="23" t="s">
        <v>142</v>
      </c>
      <c r="M26" s="23"/>
      <c r="N26" s="23"/>
      <c r="O26" s="23" t="str">
        <f t="shared" si="3"/>
        <v/>
      </c>
      <c r="P26" s="23"/>
      <c r="Q26" s="23"/>
      <c r="R26" s="27">
        <v>45124</v>
      </c>
      <c r="S26" s="27">
        <v>45124</v>
      </c>
      <c r="T26" s="23">
        <v>50753852</v>
      </c>
      <c r="U26" s="28">
        <v>4320343973126</v>
      </c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 t="s">
        <v>40</v>
      </c>
      <c r="AN26" s="32" t="s">
        <v>58</v>
      </c>
      <c r="AO26" s="32" t="s">
        <v>58</v>
      </c>
      <c r="AP26" s="23"/>
      <c r="AQ26" s="23"/>
      <c r="AR26" s="23"/>
      <c r="AS26" s="23" t="str">
        <f t="shared" si="4"/>
        <v>Yes</v>
      </c>
      <c r="AT26" s="29" t="str">
        <f t="shared" si="1"/>
        <v>Yes</v>
      </c>
      <c r="AU26" s="30"/>
      <c r="AV26" s="31"/>
      <c r="AW26" s="31" t="s">
        <v>59</v>
      </c>
      <c r="AX26" s="2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1:74" x14ac:dyDescent="0.25">
      <c r="A27" s="25">
        <v>24</v>
      </c>
      <c r="B27" s="23" t="s">
        <v>143</v>
      </c>
      <c r="C27" s="23" t="s">
        <v>113</v>
      </c>
      <c r="D27" s="26" t="s">
        <v>144</v>
      </c>
      <c r="E27" s="23">
        <v>7</v>
      </c>
      <c r="F27" s="23" t="s">
        <v>145</v>
      </c>
      <c r="G27" s="23">
        <f>VLOOKUP(C27,[2]Sheet2!$T$3:$V$92,3,FALSE)</f>
        <v>5</v>
      </c>
      <c r="H27" s="23" t="s">
        <v>68</v>
      </c>
      <c r="I27" s="23" t="s">
        <v>55</v>
      </c>
      <c r="J27" s="23">
        <v>4</v>
      </c>
      <c r="K27" s="6">
        <v>0.78</v>
      </c>
      <c r="L27" s="23" t="s">
        <v>146</v>
      </c>
      <c r="M27" s="23"/>
      <c r="N27" s="23"/>
      <c r="O27" s="23" t="str">
        <f t="shared" si="3"/>
        <v/>
      </c>
      <c r="P27" s="23"/>
      <c r="Q27" s="23"/>
      <c r="R27" s="27">
        <v>42075</v>
      </c>
      <c r="S27" s="27">
        <v>44348</v>
      </c>
      <c r="T27" s="23">
        <v>50223528</v>
      </c>
      <c r="U27" s="28">
        <v>4220190153833</v>
      </c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 t="s">
        <v>39</v>
      </c>
      <c r="AN27" s="39" t="s">
        <v>58</v>
      </c>
      <c r="AO27" s="23"/>
      <c r="AP27" s="23"/>
      <c r="AQ27" s="23"/>
      <c r="AR27" s="23"/>
      <c r="AS27" s="23" t="str">
        <f t="shared" si="4"/>
        <v>Yes</v>
      </c>
      <c r="AT27" s="29" t="str">
        <f t="shared" si="1"/>
        <v>Yes</v>
      </c>
      <c r="AU27" s="30"/>
      <c r="AV27" s="31" t="s">
        <v>64</v>
      </c>
      <c r="AW27" s="31"/>
      <c r="AX27" s="2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1:74" x14ac:dyDescent="0.25">
      <c r="A28" s="25">
        <v>25</v>
      </c>
      <c r="B28" s="23" t="s">
        <v>147</v>
      </c>
      <c r="C28" s="23" t="s">
        <v>113</v>
      </c>
      <c r="D28" s="26" t="s">
        <v>148</v>
      </c>
      <c r="E28" s="23">
        <v>7</v>
      </c>
      <c r="F28" s="23" t="s">
        <v>145</v>
      </c>
      <c r="G28" s="23">
        <f>VLOOKUP(C28,[2]Sheet2!$T$3:$V$92,3,FALSE)</f>
        <v>5</v>
      </c>
      <c r="H28" s="23" t="s">
        <v>68</v>
      </c>
      <c r="I28" s="23" t="s">
        <v>55</v>
      </c>
      <c r="J28" s="23">
        <v>3</v>
      </c>
      <c r="K28" s="6">
        <v>0.68</v>
      </c>
      <c r="L28" s="23" t="s">
        <v>135</v>
      </c>
      <c r="M28" s="23"/>
      <c r="N28" s="23"/>
      <c r="O28" s="23" t="str">
        <f t="shared" si="3"/>
        <v/>
      </c>
      <c r="P28" s="23"/>
      <c r="Q28" s="23"/>
      <c r="R28" s="27">
        <v>44692</v>
      </c>
      <c r="S28" s="27">
        <v>44692</v>
      </c>
      <c r="T28" s="23">
        <v>50699279</v>
      </c>
      <c r="U28" s="28">
        <v>4220169850491</v>
      </c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 t="s">
        <v>40</v>
      </c>
      <c r="AN28" s="32" t="s">
        <v>58</v>
      </c>
      <c r="AO28" s="39" t="s">
        <v>58</v>
      </c>
      <c r="AP28" s="23"/>
      <c r="AQ28" s="23"/>
      <c r="AR28" s="23"/>
      <c r="AS28" s="23" t="str">
        <f t="shared" si="4"/>
        <v>Yes</v>
      </c>
      <c r="AT28" s="29" t="str">
        <f t="shared" si="1"/>
        <v>Yes</v>
      </c>
      <c r="AU28" s="30"/>
      <c r="AV28" s="31"/>
      <c r="AW28" s="31"/>
      <c r="AX28" s="2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29" spans="1:74" x14ac:dyDescent="0.25">
      <c r="A29" s="25">
        <v>26</v>
      </c>
      <c r="B29" s="23" t="s">
        <v>149</v>
      </c>
      <c r="C29" s="23" t="s">
        <v>113</v>
      </c>
      <c r="D29" s="26" t="s">
        <v>150</v>
      </c>
      <c r="E29" s="23">
        <v>6</v>
      </c>
      <c r="F29" s="23" t="s">
        <v>151</v>
      </c>
      <c r="G29" s="23">
        <f>VLOOKUP(C29,[2]Sheet2!$T$3:$V$92,3,FALSE)</f>
        <v>5</v>
      </c>
      <c r="H29" s="23" t="s">
        <v>68</v>
      </c>
      <c r="I29" s="23" t="s">
        <v>55</v>
      </c>
      <c r="J29" s="23">
        <v>1</v>
      </c>
      <c r="K29" s="6">
        <v>0.62</v>
      </c>
      <c r="L29" s="23" t="s">
        <v>152</v>
      </c>
      <c r="M29" s="23"/>
      <c r="N29" s="23"/>
      <c r="O29" s="23" t="str">
        <f t="shared" si="3"/>
        <v/>
      </c>
      <c r="P29" s="23"/>
      <c r="Q29" s="23"/>
      <c r="R29" s="27">
        <v>37615</v>
      </c>
      <c r="S29" s="27">
        <v>37615</v>
      </c>
      <c r="T29" s="23">
        <v>10112413</v>
      </c>
      <c r="U29" s="28">
        <v>4240186299307</v>
      </c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 t="s">
        <v>73</v>
      </c>
      <c r="AN29" s="23"/>
      <c r="AO29" s="23"/>
      <c r="AP29" s="23"/>
      <c r="AQ29" s="23"/>
      <c r="AR29" s="23"/>
      <c r="AS29" s="23" t="str">
        <f t="shared" si="4"/>
        <v>No</v>
      </c>
      <c r="AT29" s="29" t="str">
        <f t="shared" si="1"/>
        <v>NA</v>
      </c>
      <c r="AU29" s="30"/>
      <c r="AV29" s="31"/>
      <c r="AW29" s="31"/>
      <c r="AX29" s="2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</row>
    <row r="30" spans="1:74" x14ac:dyDescent="0.25">
      <c r="A30" s="25">
        <v>27</v>
      </c>
      <c r="B30" s="23" t="s">
        <v>153</v>
      </c>
      <c r="C30" s="23" t="s">
        <v>113</v>
      </c>
      <c r="D30" s="26" t="s">
        <v>154</v>
      </c>
      <c r="E30" s="23">
        <v>6</v>
      </c>
      <c r="F30" s="23" t="s">
        <v>151</v>
      </c>
      <c r="G30" s="23">
        <f>VLOOKUP(C30,[2]Sheet2!$T$3:$V$92,3,FALSE)</f>
        <v>5</v>
      </c>
      <c r="H30" s="23" t="s">
        <v>68</v>
      </c>
      <c r="I30" s="23" t="s">
        <v>55</v>
      </c>
      <c r="J30" s="23">
        <v>2</v>
      </c>
      <c r="K30" s="6">
        <v>0.75</v>
      </c>
      <c r="L30" s="23" t="s">
        <v>155</v>
      </c>
      <c r="M30" s="23"/>
      <c r="N30" s="23"/>
      <c r="O30" s="23" t="str">
        <f t="shared" si="3"/>
        <v/>
      </c>
      <c r="P30" s="23"/>
      <c r="Q30" s="23"/>
      <c r="R30" s="27">
        <v>34707</v>
      </c>
      <c r="S30" s="27">
        <v>34707</v>
      </c>
      <c r="T30" s="23">
        <v>10112403</v>
      </c>
      <c r="U30" s="28">
        <v>4220114237211</v>
      </c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 t="s">
        <v>39</v>
      </c>
      <c r="AN30" s="32" t="s">
        <v>58</v>
      </c>
      <c r="AO30" s="23"/>
      <c r="AP30" s="23"/>
      <c r="AQ30" s="23"/>
      <c r="AR30" s="23"/>
      <c r="AS30" s="23" t="str">
        <f t="shared" si="4"/>
        <v>Yes</v>
      </c>
      <c r="AT30" s="29" t="str">
        <f t="shared" si="1"/>
        <v>Yes</v>
      </c>
      <c r="AU30" s="30"/>
      <c r="AV30" s="31"/>
      <c r="AW30" s="31"/>
      <c r="AX30" s="2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1:74" x14ac:dyDescent="0.25">
      <c r="A31" s="25">
        <v>8</v>
      </c>
      <c r="B31" s="23" t="s">
        <v>156</v>
      </c>
      <c r="C31" s="23" t="s">
        <v>113</v>
      </c>
      <c r="D31" s="26" t="s">
        <v>157</v>
      </c>
      <c r="E31" s="23">
        <v>5</v>
      </c>
      <c r="F31" s="23" t="s">
        <v>71</v>
      </c>
      <c r="G31" s="23">
        <f>VLOOKUP(C31,[2]Sheet2!$T$3:$V$92,3,FALSE)</f>
        <v>5</v>
      </c>
      <c r="H31" s="23" t="s">
        <v>68</v>
      </c>
      <c r="I31" s="23" t="s">
        <v>55</v>
      </c>
      <c r="J31" s="23">
        <v>4</v>
      </c>
      <c r="K31" s="6">
        <v>0.65</v>
      </c>
      <c r="L31" s="23" t="s">
        <v>158</v>
      </c>
      <c r="M31" s="23"/>
      <c r="N31" s="23"/>
      <c r="O31" s="23" t="str">
        <f t="shared" si="3"/>
        <v/>
      </c>
      <c r="P31" s="23"/>
      <c r="Q31" s="23"/>
      <c r="R31" s="27">
        <v>39157</v>
      </c>
      <c r="S31" s="27">
        <v>39157</v>
      </c>
      <c r="T31" s="23">
        <v>10304357</v>
      </c>
      <c r="U31" s="28">
        <v>4240160539693</v>
      </c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 t="s">
        <v>73</v>
      </c>
      <c r="AN31" s="23"/>
      <c r="AO31" s="23"/>
      <c r="AP31" s="23"/>
      <c r="AQ31" s="23"/>
      <c r="AR31" s="23"/>
      <c r="AS31" s="23" t="str">
        <f t="shared" si="4"/>
        <v>No</v>
      </c>
      <c r="AT31" s="29" t="str">
        <f t="shared" si="1"/>
        <v>NA</v>
      </c>
      <c r="AU31" s="30"/>
      <c r="AV31" s="31" t="s">
        <v>64</v>
      </c>
      <c r="AW31" s="31"/>
      <c r="AX31" s="2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1:74" x14ac:dyDescent="0.25">
      <c r="A32" s="25">
        <v>28</v>
      </c>
      <c r="B32" s="23" t="s">
        <v>159</v>
      </c>
      <c r="C32" s="23" t="s">
        <v>113</v>
      </c>
      <c r="D32" s="26" t="s">
        <v>160</v>
      </c>
      <c r="E32" s="23">
        <v>5</v>
      </c>
      <c r="F32" s="23" t="s">
        <v>161</v>
      </c>
      <c r="G32" s="23">
        <f>VLOOKUP(C32,[2]Sheet2!$T$3:$V$92,3,FALSE)</f>
        <v>5</v>
      </c>
      <c r="H32" s="23" t="s">
        <v>68</v>
      </c>
      <c r="I32" s="23" t="s">
        <v>55</v>
      </c>
      <c r="J32" s="23">
        <v>4</v>
      </c>
      <c r="K32" s="6">
        <v>0.62</v>
      </c>
      <c r="L32" s="23" t="s">
        <v>162</v>
      </c>
      <c r="M32" s="23" t="s">
        <v>163</v>
      </c>
      <c r="N32" s="23"/>
      <c r="O32" s="23" t="str">
        <f t="shared" si="3"/>
        <v/>
      </c>
      <c r="P32" s="23"/>
      <c r="Q32" s="23"/>
      <c r="R32" s="27">
        <v>38999</v>
      </c>
      <c r="S32" s="27">
        <v>39805</v>
      </c>
      <c r="T32" s="23">
        <v>10260785</v>
      </c>
      <c r="U32" s="28">
        <v>4240102322069</v>
      </c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 t="s">
        <v>73</v>
      </c>
      <c r="AN32" s="23"/>
      <c r="AO32" s="23"/>
      <c r="AP32" s="23"/>
      <c r="AQ32" s="23"/>
      <c r="AR32" s="23"/>
      <c r="AS32" s="23" t="str">
        <f t="shared" si="4"/>
        <v>No</v>
      </c>
      <c r="AT32" s="29" t="str">
        <f t="shared" si="1"/>
        <v>NA</v>
      </c>
      <c r="AU32" s="30"/>
      <c r="AV32" s="31"/>
      <c r="AW32" s="31"/>
      <c r="AX32" s="2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</row>
    <row r="33" spans="1:74" x14ac:dyDescent="0.25">
      <c r="A33" s="25">
        <v>29</v>
      </c>
      <c r="B33" s="23" t="s">
        <v>164</v>
      </c>
      <c r="C33" s="23" t="s">
        <v>113</v>
      </c>
      <c r="D33" s="26" t="s">
        <v>165</v>
      </c>
      <c r="E33" s="23">
        <v>5</v>
      </c>
      <c r="F33" s="23" t="s">
        <v>161</v>
      </c>
      <c r="G33" s="23">
        <f>VLOOKUP(C33,[2]Sheet2!$T$3:$V$92,3,FALSE)</f>
        <v>5</v>
      </c>
      <c r="H33" s="23" t="s">
        <v>68</v>
      </c>
      <c r="I33" s="23" t="s">
        <v>55</v>
      </c>
      <c r="J33" s="23">
        <v>2</v>
      </c>
      <c r="K33" s="6">
        <v>0.68</v>
      </c>
      <c r="L33" s="23" t="s">
        <v>166</v>
      </c>
      <c r="M33" s="23" t="s">
        <v>167</v>
      </c>
      <c r="N33" s="23"/>
      <c r="O33" s="23" t="str">
        <f t="shared" si="3"/>
        <v/>
      </c>
      <c r="P33" s="23"/>
      <c r="Q33" s="23"/>
      <c r="R33" s="27">
        <v>35156</v>
      </c>
      <c r="S33" s="27">
        <v>35156</v>
      </c>
      <c r="T33" s="23">
        <v>10112407</v>
      </c>
      <c r="U33" s="28">
        <v>4210157069417</v>
      </c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 t="s">
        <v>73</v>
      </c>
      <c r="AN33" s="23"/>
      <c r="AO33" s="23"/>
      <c r="AP33" s="23"/>
      <c r="AQ33" s="23"/>
      <c r="AR33" s="23"/>
      <c r="AS33" s="23" t="str">
        <f t="shared" si="4"/>
        <v>No</v>
      </c>
      <c r="AT33" s="29" t="str">
        <f t="shared" si="1"/>
        <v>NA</v>
      </c>
      <c r="AU33" s="30"/>
      <c r="AV33" s="31"/>
      <c r="AW33" s="31"/>
      <c r="AX33" s="2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1:74" x14ac:dyDescent="0.25">
      <c r="A34" s="25">
        <v>30</v>
      </c>
      <c r="B34" s="23" t="s">
        <v>168</v>
      </c>
      <c r="C34" s="23" t="s">
        <v>113</v>
      </c>
      <c r="D34" s="26" t="s">
        <v>66</v>
      </c>
      <c r="E34" s="23">
        <v>5</v>
      </c>
      <c r="F34" s="23" t="s">
        <v>169</v>
      </c>
      <c r="G34" s="23">
        <f>VLOOKUP(C34,[2]Sheet2!$T$3:$V$92,3,FALSE)</f>
        <v>5</v>
      </c>
      <c r="H34" s="23" t="s">
        <v>68</v>
      </c>
      <c r="I34" s="23" t="s">
        <v>55</v>
      </c>
      <c r="J34" s="23"/>
      <c r="K34" s="6">
        <v>0</v>
      </c>
      <c r="L34" s="23"/>
      <c r="M34" s="23"/>
      <c r="N34" s="23"/>
      <c r="O34" s="23" t="str">
        <f t="shared" si="3"/>
        <v/>
      </c>
      <c r="P34" s="23"/>
      <c r="Q34" s="23"/>
      <c r="R34" s="27"/>
      <c r="S34" s="27"/>
      <c r="T34" s="23"/>
      <c r="U34" s="28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 t="s">
        <v>66</v>
      </c>
      <c r="AN34" s="23"/>
      <c r="AO34" s="23"/>
      <c r="AP34" s="23"/>
      <c r="AQ34" s="23"/>
      <c r="AR34" s="23"/>
      <c r="AS34" s="23" t="str">
        <f t="shared" si="4"/>
        <v>No</v>
      </c>
      <c r="AT34" s="29" t="str">
        <f t="shared" si="1"/>
        <v>Vacant</v>
      </c>
      <c r="AU34" s="30"/>
      <c r="AV34" s="31"/>
      <c r="AW34" s="31"/>
      <c r="AX34" s="2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1:74" s="42" customFormat="1" x14ac:dyDescent="0.25">
      <c r="A35" s="25">
        <v>31</v>
      </c>
      <c r="B35" s="23" t="s">
        <v>170</v>
      </c>
      <c r="C35" s="23" t="s">
        <v>113</v>
      </c>
      <c r="D35" s="26" t="s">
        <v>171</v>
      </c>
      <c r="E35" s="23">
        <v>5</v>
      </c>
      <c r="F35" s="23" t="s">
        <v>71</v>
      </c>
      <c r="G35" s="23">
        <f>VLOOKUP(C35,[2]Sheet2!$T$3:$V$92,3,FALSE)</f>
        <v>5</v>
      </c>
      <c r="H35" s="23" t="s">
        <v>68</v>
      </c>
      <c r="I35" s="23" t="s">
        <v>55</v>
      </c>
      <c r="J35" s="23"/>
      <c r="K35" s="6">
        <v>0</v>
      </c>
      <c r="L35" s="23"/>
      <c r="M35" s="23"/>
      <c r="N35" s="23"/>
      <c r="O35" s="23" t="str">
        <f t="shared" si="3"/>
        <v/>
      </c>
      <c r="P35" s="23"/>
      <c r="Q35" s="23"/>
      <c r="R35" s="27">
        <v>39158</v>
      </c>
      <c r="S35" s="27">
        <v>45712</v>
      </c>
      <c r="T35" s="23">
        <v>10304351</v>
      </c>
      <c r="U35" s="28">
        <v>4210172951943</v>
      </c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 t="s">
        <v>73</v>
      </c>
      <c r="AN35" s="32" t="s">
        <v>58</v>
      </c>
      <c r="AO35" s="23"/>
      <c r="AP35" s="23"/>
      <c r="AQ35" s="23"/>
      <c r="AR35" s="23"/>
      <c r="AS35" s="23" t="str">
        <f t="shared" si="4"/>
        <v>Yes</v>
      </c>
      <c r="AT35" s="29" t="str">
        <f t="shared" si="1"/>
        <v>NA</v>
      </c>
      <c r="AU35" s="30"/>
      <c r="AV35" s="31"/>
      <c r="AW35" s="31"/>
      <c r="AX35" s="2"/>
    </row>
    <row r="36" spans="1:74" x14ac:dyDescent="0.25">
      <c r="A36" s="25">
        <v>32</v>
      </c>
      <c r="B36" s="23" t="s">
        <v>172</v>
      </c>
      <c r="C36" s="23" t="s">
        <v>113</v>
      </c>
      <c r="D36" s="26" t="s">
        <v>173</v>
      </c>
      <c r="E36" s="23">
        <v>4</v>
      </c>
      <c r="F36" s="23" t="s">
        <v>161</v>
      </c>
      <c r="G36" s="23">
        <f>VLOOKUP(C36,[2]Sheet2!$T$3:$V$92,3,FALSE)</f>
        <v>5</v>
      </c>
      <c r="H36" s="23" t="s">
        <v>68</v>
      </c>
      <c r="I36" s="23" t="s">
        <v>55</v>
      </c>
      <c r="J36" s="23">
        <v>4</v>
      </c>
      <c r="K36" s="6">
        <v>0.6</v>
      </c>
      <c r="L36" s="23" t="s">
        <v>174</v>
      </c>
      <c r="M36" s="23" t="s">
        <v>175</v>
      </c>
      <c r="N36" s="23"/>
      <c r="O36" s="23" t="str">
        <f t="shared" si="3"/>
        <v/>
      </c>
      <c r="P36" s="23"/>
      <c r="Q36" s="23"/>
      <c r="R36" s="27">
        <v>41456</v>
      </c>
      <c r="S36" s="27">
        <v>44412</v>
      </c>
      <c r="T36" s="23">
        <v>50187592</v>
      </c>
      <c r="U36" s="28">
        <v>4210154377405</v>
      </c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 t="s">
        <v>40</v>
      </c>
      <c r="AN36" s="32" t="s">
        <v>58</v>
      </c>
      <c r="AO36" s="32" t="s">
        <v>58</v>
      </c>
      <c r="AP36" s="23"/>
      <c r="AQ36" s="23"/>
      <c r="AR36" s="23"/>
      <c r="AS36" s="23" t="str">
        <f t="shared" si="4"/>
        <v>Yes</v>
      </c>
      <c r="AT36" s="29" t="str">
        <f t="shared" si="1"/>
        <v>Yes</v>
      </c>
      <c r="AU36" s="30"/>
      <c r="AV36" s="31" t="s">
        <v>64</v>
      </c>
      <c r="AW36" s="31"/>
      <c r="AX36" s="2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1:74" x14ac:dyDescent="0.25">
      <c r="A37" s="25">
        <v>33</v>
      </c>
      <c r="B37" s="23" t="s">
        <v>176</v>
      </c>
      <c r="C37" s="23" t="s">
        <v>113</v>
      </c>
      <c r="D37" s="26" t="s">
        <v>177</v>
      </c>
      <c r="E37" s="23">
        <v>4</v>
      </c>
      <c r="F37" s="23" t="s">
        <v>161</v>
      </c>
      <c r="G37" s="23">
        <f>VLOOKUP(C37,[2]Sheet2!$T$3:$V$92,3,FALSE)</f>
        <v>5</v>
      </c>
      <c r="H37" s="23" t="s">
        <v>68</v>
      </c>
      <c r="I37" s="23" t="s">
        <v>55</v>
      </c>
      <c r="J37" s="23">
        <v>4</v>
      </c>
      <c r="K37" s="6">
        <v>0.68</v>
      </c>
      <c r="L37" s="23" t="s">
        <v>178</v>
      </c>
      <c r="M37" s="23" t="s">
        <v>175</v>
      </c>
      <c r="N37" s="23"/>
      <c r="O37" s="23" t="str">
        <f t="shared" si="3"/>
        <v/>
      </c>
      <c r="P37" s="23"/>
      <c r="Q37" s="23"/>
      <c r="R37" s="27">
        <v>42079</v>
      </c>
      <c r="S37" s="27">
        <v>43153</v>
      </c>
      <c r="T37" s="23">
        <v>50231255</v>
      </c>
      <c r="U37" s="28">
        <v>4210146900023</v>
      </c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 t="s">
        <v>73</v>
      </c>
      <c r="AN37" s="23"/>
      <c r="AO37" s="23"/>
      <c r="AP37" s="23"/>
      <c r="AQ37" s="23"/>
      <c r="AR37" s="23"/>
      <c r="AS37" s="23" t="str">
        <f t="shared" si="4"/>
        <v>No</v>
      </c>
      <c r="AT37" s="29" t="str">
        <f t="shared" si="1"/>
        <v>NA</v>
      </c>
      <c r="AU37" s="30"/>
      <c r="AV37" s="31"/>
      <c r="AW37" s="31"/>
      <c r="AX37" s="2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1:74" x14ac:dyDescent="0.25">
      <c r="A38" s="25">
        <v>34</v>
      </c>
      <c r="B38" s="23" t="s">
        <v>179</v>
      </c>
      <c r="C38" s="23" t="s">
        <v>113</v>
      </c>
      <c r="D38" s="26" t="s">
        <v>180</v>
      </c>
      <c r="E38" s="23">
        <v>4</v>
      </c>
      <c r="F38" s="23" t="s">
        <v>161</v>
      </c>
      <c r="G38" s="23">
        <f>VLOOKUP(C38,[2]Sheet2!$T$3:$V$92,3,FALSE)</f>
        <v>5</v>
      </c>
      <c r="H38" s="23" t="s">
        <v>68</v>
      </c>
      <c r="I38" s="23" t="s">
        <v>55</v>
      </c>
      <c r="J38" s="23">
        <v>1</v>
      </c>
      <c r="K38" s="6">
        <v>0.5</v>
      </c>
      <c r="L38" s="23" t="s">
        <v>181</v>
      </c>
      <c r="M38" s="23" t="s">
        <v>182</v>
      </c>
      <c r="N38" s="23"/>
      <c r="O38" s="23" t="str">
        <f t="shared" si="3"/>
        <v/>
      </c>
      <c r="P38" s="23"/>
      <c r="Q38" s="23"/>
      <c r="R38" s="27">
        <v>41456</v>
      </c>
      <c r="S38" s="27">
        <v>44727</v>
      </c>
      <c r="T38" s="23">
        <v>50176200</v>
      </c>
      <c r="U38" s="28">
        <v>4230186780891</v>
      </c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 t="s">
        <v>73</v>
      </c>
      <c r="AN38" s="23"/>
      <c r="AO38" s="23"/>
      <c r="AP38" s="23"/>
      <c r="AQ38" s="23"/>
      <c r="AR38" s="23"/>
      <c r="AS38" s="23" t="str">
        <f t="shared" si="4"/>
        <v>No</v>
      </c>
      <c r="AT38" s="29" t="str">
        <f t="shared" si="1"/>
        <v>NA</v>
      </c>
      <c r="AU38" s="30"/>
      <c r="AV38" s="31"/>
      <c r="AW38" s="31"/>
      <c r="AX38" s="2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1:74" x14ac:dyDescent="0.25">
      <c r="A39" s="25">
        <v>36</v>
      </c>
      <c r="B39" s="23" t="s">
        <v>183</v>
      </c>
      <c r="C39" s="23" t="s">
        <v>113</v>
      </c>
      <c r="D39" s="26" t="s">
        <v>184</v>
      </c>
      <c r="E39" s="23">
        <v>4</v>
      </c>
      <c r="F39" s="23" t="s">
        <v>161</v>
      </c>
      <c r="G39" s="23">
        <f>VLOOKUP(C39,[2]Sheet2!$T$3:$V$92,3,FALSE)</f>
        <v>5</v>
      </c>
      <c r="H39" s="23" t="s">
        <v>68</v>
      </c>
      <c r="I39" s="23" t="s">
        <v>55</v>
      </c>
      <c r="J39" s="23">
        <v>3</v>
      </c>
      <c r="K39" s="6">
        <v>0.62</v>
      </c>
      <c r="L39" s="23" t="s">
        <v>135</v>
      </c>
      <c r="M39" s="23" t="s">
        <v>175</v>
      </c>
      <c r="N39" s="23"/>
      <c r="O39" s="23" t="str">
        <f t="shared" si="3"/>
        <v/>
      </c>
      <c r="P39" s="23"/>
      <c r="Q39" s="23"/>
      <c r="R39" s="27">
        <v>41456</v>
      </c>
      <c r="S39" s="27">
        <v>44508</v>
      </c>
      <c r="T39" s="23">
        <v>50188858</v>
      </c>
      <c r="U39" s="28">
        <v>4240122895559</v>
      </c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 t="s">
        <v>73</v>
      </c>
      <c r="AN39" s="23"/>
      <c r="AO39" s="23"/>
      <c r="AP39" s="23"/>
      <c r="AQ39" s="23"/>
      <c r="AR39" s="23"/>
      <c r="AS39" s="23" t="str">
        <f t="shared" si="4"/>
        <v>No</v>
      </c>
      <c r="AT39" s="29" t="str">
        <f t="shared" si="1"/>
        <v>NA</v>
      </c>
      <c r="AU39" s="30"/>
      <c r="AV39" s="31"/>
      <c r="AW39" s="31"/>
      <c r="AX39" s="2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</row>
    <row r="40" spans="1:74" x14ac:dyDescent="0.25">
      <c r="A40" s="25">
        <v>37</v>
      </c>
      <c r="B40" s="23" t="s">
        <v>185</v>
      </c>
      <c r="C40" s="23" t="s">
        <v>113</v>
      </c>
      <c r="D40" s="26" t="s">
        <v>186</v>
      </c>
      <c r="E40" s="23">
        <v>4</v>
      </c>
      <c r="F40" s="23" t="s">
        <v>161</v>
      </c>
      <c r="G40" s="23">
        <f>VLOOKUP(C40,[2]Sheet2!$T$3:$V$92,3,FALSE)</f>
        <v>5</v>
      </c>
      <c r="H40" s="23" t="s">
        <v>68</v>
      </c>
      <c r="I40" s="23" t="s">
        <v>55</v>
      </c>
      <c r="J40" s="23">
        <v>1</v>
      </c>
      <c r="K40" s="6">
        <v>0.74</v>
      </c>
      <c r="L40" s="23" t="s">
        <v>187</v>
      </c>
      <c r="M40" s="23" t="s">
        <v>188</v>
      </c>
      <c r="N40" s="23"/>
      <c r="O40" s="23" t="str">
        <f t="shared" si="3"/>
        <v/>
      </c>
      <c r="P40" s="23"/>
      <c r="Q40" s="23"/>
      <c r="R40" s="27">
        <v>41981</v>
      </c>
      <c r="S40" s="27">
        <v>43500</v>
      </c>
      <c r="T40" s="23">
        <v>50216876</v>
      </c>
      <c r="U40" s="28">
        <v>4210151461219</v>
      </c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 t="s">
        <v>40</v>
      </c>
      <c r="AN40" s="23"/>
      <c r="AO40" s="23" t="s">
        <v>189</v>
      </c>
      <c r="AP40" s="23"/>
      <c r="AQ40" s="23"/>
      <c r="AR40" s="23"/>
      <c r="AS40" s="23" t="str">
        <f t="shared" si="4"/>
        <v>No</v>
      </c>
      <c r="AT40" s="29" t="str">
        <f t="shared" si="1"/>
        <v>No</v>
      </c>
      <c r="AU40" s="30"/>
      <c r="AV40" s="31" t="s">
        <v>64</v>
      </c>
      <c r="AW40" s="31"/>
      <c r="AX40" s="2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</row>
    <row r="41" spans="1:74" x14ac:dyDescent="0.25">
      <c r="A41" s="25">
        <v>559</v>
      </c>
      <c r="B41" s="23" t="s">
        <v>190</v>
      </c>
      <c r="C41" s="23" t="s">
        <v>113</v>
      </c>
      <c r="D41" s="26" t="s">
        <v>191</v>
      </c>
      <c r="E41" s="23">
        <v>4</v>
      </c>
      <c r="F41" s="23" t="s">
        <v>161</v>
      </c>
      <c r="G41" s="23">
        <f>VLOOKUP(C41,[2]Sheet2!$T$3:$V$92,3,FALSE)</f>
        <v>5</v>
      </c>
      <c r="H41" s="23" t="s">
        <v>68</v>
      </c>
      <c r="I41" s="23" t="s">
        <v>55</v>
      </c>
      <c r="J41" s="23"/>
      <c r="K41" s="6">
        <v>0.5</v>
      </c>
      <c r="L41" s="23" t="s">
        <v>192</v>
      </c>
      <c r="M41" s="43" t="s">
        <v>193</v>
      </c>
      <c r="N41" s="43"/>
      <c r="O41" s="23" t="str">
        <f t="shared" si="3"/>
        <v/>
      </c>
      <c r="P41" s="43"/>
      <c r="Q41" s="43"/>
      <c r="R41" s="44">
        <v>38815</v>
      </c>
      <c r="S41" s="44">
        <v>44866</v>
      </c>
      <c r="T41" s="23">
        <v>10422564</v>
      </c>
      <c r="U41" s="28">
        <v>4410344550769</v>
      </c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 t="s">
        <v>73</v>
      </c>
      <c r="AN41" s="23"/>
      <c r="AO41" s="23"/>
      <c r="AP41" s="23"/>
      <c r="AQ41" s="23"/>
      <c r="AR41" s="23"/>
      <c r="AS41" s="23" t="str">
        <f t="shared" si="4"/>
        <v>No</v>
      </c>
      <c r="AT41" s="29" t="str">
        <f t="shared" si="1"/>
        <v>NA</v>
      </c>
      <c r="AU41" s="30"/>
      <c r="AV41" s="31"/>
      <c r="AW41" s="31"/>
      <c r="AX41" s="2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</row>
    <row r="42" spans="1:74" x14ac:dyDescent="0.25">
      <c r="A42" s="25">
        <v>38</v>
      </c>
      <c r="B42" s="23" t="s">
        <v>194</v>
      </c>
      <c r="C42" s="23" t="s">
        <v>113</v>
      </c>
      <c r="D42" s="26" t="s">
        <v>195</v>
      </c>
      <c r="E42" s="23">
        <v>4</v>
      </c>
      <c r="F42" s="23" t="s">
        <v>196</v>
      </c>
      <c r="G42" s="23">
        <f>VLOOKUP(C42,[2]Sheet2!$T$3:$V$92,3,FALSE)</f>
        <v>5</v>
      </c>
      <c r="H42" s="23" t="s">
        <v>68</v>
      </c>
      <c r="I42" s="23" t="s">
        <v>55</v>
      </c>
      <c r="J42" s="23">
        <v>1</v>
      </c>
      <c r="K42" s="6">
        <v>0.67</v>
      </c>
      <c r="L42" s="23" t="s">
        <v>197</v>
      </c>
      <c r="M42" s="23"/>
      <c r="N42" s="23"/>
      <c r="O42" s="23" t="str">
        <f t="shared" si="3"/>
        <v/>
      </c>
      <c r="P42" s="23"/>
      <c r="Q42" s="23"/>
      <c r="R42" s="27">
        <v>43857</v>
      </c>
      <c r="S42" s="27">
        <v>43857</v>
      </c>
      <c r="T42" s="23">
        <v>50555023</v>
      </c>
      <c r="U42" s="28">
        <v>4210197197935</v>
      </c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 t="s">
        <v>73</v>
      </c>
      <c r="AN42" s="23"/>
      <c r="AO42" s="23"/>
      <c r="AP42" s="23"/>
      <c r="AQ42" s="23"/>
      <c r="AR42" s="23"/>
      <c r="AS42" s="23" t="str">
        <f t="shared" si="4"/>
        <v>No</v>
      </c>
      <c r="AT42" s="29" t="str">
        <f t="shared" si="1"/>
        <v>NA</v>
      </c>
      <c r="AU42" s="30"/>
      <c r="AV42" s="31"/>
      <c r="AW42" s="31"/>
      <c r="AX42" s="2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</row>
    <row r="43" spans="1:74" x14ac:dyDescent="0.25">
      <c r="A43" s="25">
        <v>39</v>
      </c>
      <c r="B43" s="23" t="s">
        <v>198</v>
      </c>
      <c r="C43" s="23" t="s">
        <v>113</v>
      </c>
      <c r="D43" s="26" t="s">
        <v>199</v>
      </c>
      <c r="E43" s="23">
        <v>4</v>
      </c>
      <c r="F43" s="23" t="s">
        <v>196</v>
      </c>
      <c r="G43" s="23">
        <f>VLOOKUP(C43,[2]Sheet2!$T$3:$V$92,3,FALSE)</f>
        <v>5</v>
      </c>
      <c r="H43" s="23" t="s">
        <v>68</v>
      </c>
      <c r="I43" s="23" t="s">
        <v>55</v>
      </c>
      <c r="J43" s="23">
        <v>2</v>
      </c>
      <c r="K43" s="6">
        <v>0.75</v>
      </c>
      <c r="L43" s="23" t="s">
        <v>200</v>
      </c>
      <c r="M43" s="23"/>
      <c r="N43" s="23"/>
      <c r="O43" s="23" t="str">
        <f t="shared" si="3"/>
        <v/>
      </c>
      <c r="P43" s="23"/>
      <c r="Q43" s="23"/>
      <c r="R43" s="27">
        <v>45091</v>
      </c>
      <c r="S43" s="27">
        <v>45091</v>
      </c>
      <c r="T43" s="23">
        <v>50750235</v>
      </c>
      <c r="U43" s="28">
        <v>4240156503557</v>
      </c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 t="s">
        <v>73</v>
      </c>
      <c r="AN43" s="23"/>
      <c r="AO43" s="23"/>
      <c r="AP43" s="23"/>
      <c r="AQ43" s="23"/>
      <c r="AR43" s="23"/>
      <c r="AS43" s="23" t="str">
        <f t="shared" si="4"/>
        <v>No</v>
      </c>
      <c r="AT43" s="29" t="str">
        <f t="shared" si="1"/>
        <v>NA</v>
      </c>
      <c r="AU43" s="30"/>
      <c r="AV43" s="31"/>
      <c r="AW43" s="31"/>
      <c r="AX43" s="2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1:74" x14ac:dyDescent="0.25">
      <c r="A44" s="25">
        <v>40</v>
      </c>
      <c r="B44" s="23" t="s">
        <v>201</v>
      </c>
      <c r="C44" s="23" t="s">
        <v>113</v>
      </c>
      <c r="D44" s="26" t="s">
        <v>202</v>
      </c>
      <c r="E44" s="23">
        <v>4</v>
      </c>
      <c r="F44" s="23" t="s">
        <v>71</v>
      </c>
      <c r="G44" s="23">
        <f>VLOOKUP(C44,[2]Sheet2!$T$3:$V$92,3,FALSE)</f>
        <v>5</v>
      </c>
      <c r="H44" s="23" t="s">
        <v>68</v>
      </c>
      <c r="I44" s="23" t="s">
        <v>55</v>
      </c>
      <c r="J44" s="23">
        <v>3</v>
      </c>
      <c r="K44" s="6">
        <v>0.57999999999999996</v>
      </c>
      <c r="L44" s="23" t="s">
        <v>203</v>
      </c>
      <c r="M44" s="23"/>
      <c r="N44" s="23"/>
      <c r="O44" s="23" t="str">
        <f t="shared" si="3"/>
        <v/>
      </c>
      <c r="P44" s="23"/>
      <c r="Q44" s="23"/>
      <c r="R44" s="27">
        <v>41807</v>
      </c>
      <c r="S44" s="27">
        <v>41807</v>
      </c>
      <c r="T44" s="23">
        <v>50200116</v>
      </c>
      <c r="U44" s="28">
        <v>4230171554769</v>
      </c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 t="s">
        <v>39</v>
      </c>
      <c r="AN44" s="32" t="s">
        <v>58</v>
      </c>
      <c r="AO44" s="23"/>
      <c r="AP44" s="23"/>
      <c r="AQ44" s="23"/>
      <c r="AR44" s="23"/>
      <c r="AS44" s="23" t="str">
        <f t="shared" si="4"/>
        <v>Yes</v>
      </c>
      <c r="AT44" s="29" t="str">
        <f t="shared" si="1"/>
        <v>Yes</v>
      </c>
      <c r="AU44" s="30"/>
      <c r="AV44" s="31"/>
      <c r="AW44" s="31"/>
      <c r="AX44" s="2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1:74" x14ac:dyDescent="0.25">
      <c r="A45" s="25">
        <v>42</v>
      </c>
      <c r="B45" s="23" t="s">
        <v>204</v>
      </c>
      <c r="C45" s="23" t="s">
        <v>113</v>
      </c>
      <c r="D45" s="26" t="s">
        <v>205</v>
      </c>
      <c r="E45" s="23">
        <v>4</v>
      </c>
      <c r="F45" s="23" t="s">
        <v>206</v>
      </c>
      <c r="G45" s="23">
        <f>VLOOKUP(C45,[2]Sheet2!$T$3:$V$92,3,FALSE)</f>
        <v>5</v>
      </c>
      <c r="H45" s="23" t="s">
        <v>68</v>
      </c>
      <c r="I45" s="23" t="s">
        <v>55</v>
      </c>
      <c r="J45" s="23">
        <v>1</v>
      </c>
      <c r="K45" s="6">
        <v>0.62</v>
      </c>
      <c r="L45" s="23" t="s">
        <v>207</v>
      </c>
      <c r="M45" s="23"/>
      <c r="N45" s="23"/>
      <c r="O45" s="23" t="str">
        <f t="shared" si="3"/>
        <v/>
      </c>
      <c r="P45" s="23"/>
      <c r="Q45" s="23"/>
      <c r="R45" s="27">
        <v>44693</v>
      </c>
      <c r="S45" s="27">
        <v>44693</v>
      </c>
      <c r="T45" s="23">
        <v>50699298</v>
      </c>
      <c r="U45" s="28">
        <v>4220182493609</v>
      </c>
      <c r="V45" s="23"/>
      <c r="W45" s="23" t="s">
        <v>208</v>
      </c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 t="s">
        <v>73</v>
      </c>
      <c r="AN45" s="23"/>
      <c r="AO45" s="23"/>
      <c r="AP45" s="23"/>
      <c r="AQ45" s="23"/>
      <c r="AR45" s="23"/>
      <c r="AS45" s="23" t="str">
        <f t="shared" si="4"/>
        <v>No</v>
      </c>
      <c r="AT45" s="29" t="e">
        <f>IF(AM45="Matric",IF(AN45="Yes","Yes",IF(AN45="Under Process", "Under Process","No")),IF(AM45="Inter",IF(AO45="Yes","Yes",IF(AO45="Under Process", "Under Process","No")),IF(AM45="Bachelor",IF(AP45="Yes","Yes",IF(AP45="Under Process", "Under Process","No")),IF(AM45="Master",IF(AQ45="Yes","Yes",IF(AQ45="Under Process", "Under Process","No")),IF(AM45="Vacant",IF(#REF!="Yes","No","Vacant"),IF(AM45="NA",IF(#REF!="Yes","No","NA"),"No"))))))</f>
        <v>#REF!</v>
      </c>
      <c r="AU45" s="30"/>
      <c r="AV45" s="31"/>
      <c r="AW45" s="31"/>
      <c r="AX45" s="2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1:74" x14ac:dyDescent="0.25">
      <c r="A46" s="25">
        <v>43</v>
      </c>
      <c r="B46" s="23" t="s">
        <v>209</v>
      </c>
      <c r="C46" s="23" t="s">
        <v>113</v>
      </c>
      <c r="D46" s="26" t="s">
        <v>210</v>
      </c>
      <c r="E46" s="23">
        <v>4</v>
      </c>
      <c r="F46" s="23" t="s">
        <v>206</v>
      </c>
      <c r="G46" s="23">
        <f>VLOOKUP(C46,[2]Sheet2!$T$3:$V$92,3,FALSE)</f>
        <v>5</v>
      </c>
      <c r="H46" s="23" t="s">
        <v>68</v>
      </c>
      <c r="I46" s="23" t="s">
        <v>55</v>
      </c>
      <c r="J46" s="23">
        <v>3</v>
      </c>
      <c r="K46" s="6">
        <v>0.73</v>
      </c>
      <c r="L46" s="23" t="s">
        <v>211</v>
      </c>
      <c r="M46" s="23"/>
      <c r="N46" s="23"/>
      <c r="O46" s="23" t="str">
        <f t="shared" si="3"/>
        <v/>
      </c>
      <c r="P46" s="23"/>
      <c r="Q46" s="23"/>
      <c r="R46" s="27">
        <v>44705</v>
      </c>
      <c r="S46" s="27">
        <v>44705</v>
      </c>
      <c r="T46" s="23">
        <v>50699301</v>
      </c>
      <c r="U46" s="28">
        <v>4230191901281</v>
      </c>
      <c r="V46" s="23"/>
      <c r="W46" s="23" t="s">
        <v>212</v>
      </c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 t="s">
        <v>73</v>
      </c>
      <c r="AN46" s="23"/>
      <c r="AO46" s="23"/>
      <c r="AP46" s="23"/>
      <c r="AQ46" s="23"/>
      <c r="AR46" s="23"/>
      <c r="AS46" s="23" t="str">
        <f t="shared" si="4"/>
        <v>No</v>
      </c>
      <c r="AT46" s="29" t="str">
        <f>IF(AM46="Matric",IF(AN46="Yes","Yes",IF(AN46="Under Process", "Under Process","No")),IF(AM46="Inter",IF(AO46="Yes","Yes",IF(AO46="Under Process", "Under Process","No")),IF(AM46="Bachelor",IF(AP46="Yes","Yes",IF(AP46="Under Process", "Under Process","No")),IF(AM46="Master",IF(AQ46="Yes","Yes",IF(AQ46="Under Process", "Under Process","No")),IF(AM46="Vacant",IF(D53="Yes","No","Vacant"),IF(AM46="NA",IF(D53="Yes","No","NA"),"No"))))))</f>
        <v>NA</v>
      </c>
      <c r="AU46" s="30"/>
      <c r="AV46" s="31"/>
      <c r="AW46" s="31"/>
      <c r="AX46" s="2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1:74" x14ac:dyDescent="0.25">
      <c r="A47" s="25">
        <v>44</v>
      </c>
      <c r="B47" s="23" t="s">
        <v>213</v>
      </c>
      <c r="C47" s="23" t="s">
        <v>113</v>
      </c>
      <c r="D47" s="26" t="s">
        <v>214</v>
      </c>
      <c r="E47" s="23">
        <v>2</v>
      </c>
      <c r="F47" s="23" t="s">
        <v>206</v>
      </c>
      <c r="G47" s="23">
        <f>VLOOKUP(C47,[2]Sheet2!$T$3:$V$92,3,FALSE)</f>
        <v>5</v>
      </c>
      <c r="H47" s="23" t="s">
        <v>68</v>
      </c>
      <c r="I47" s="23" t="s">
        <v>55</v>
      </c>
      <c r="J47" s="23">
        <v>4</v>
      </c>
      <c r="K47" s="6">
        <v>0.68</v>
      </c>
      <c r="L47" s="23" t="s">
        <v>215</v>
      </c>
      <c r="M47" s="23"/>
      <c r="N47" s="23"/>
      <c r="O47" s="23" t="str">
        <f t="shared" si="3"/>
        <v/>
      </c>
      <c r="P47" s="23"/>
      <c r="Q47" s="23"/>
      <c r="R47" s="27">
        <v>45104</v>
      </c>
      <c r="S47" s="27">
        <v>45104</v>
      </c>
      <c r="T47" s="23">
        <v>50746205</v>
      </c>
      <c r="U47" s="28">
        <v>4220110617339</v>
      </c>
      <c r="V47" s="23"/>
      <c r="W47" s="23" t="s">
        <v>212</v>
      </c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 t="s">
        <v>39</v>
      </c>
      <c r="AN47" s="32" t="s">
        <v>58</v>
      </c>
      <c r="AO47" s="23"/>
      <c r="AP47" s="23"/>
      <c r="AQ47" s="23"/>
      <c r="AR47" s="23"/>
      <c r="AS47" s="23" t="str">
        <f t="shared" si="4"/>
        <v>Yes</v>
      </c>
      <c r="AT47" s="29" t="str">
        <f>IF(AM47="Matric",IF(AN47="Yes","Yes",IF(AN47="Under Process", "Under Process","No")),IF(AM47="Inter",IF(AO47="Yes","Yes",IF(AO47="Under Process", "Under Process","No")),IF(AM47="Bachelor",IF(AP47="Yes","Yes",IF(AP47="Under Process", "Under Process","No")),IF(AM47="Master",IF(AQ47="Yes","Yes",IF(AQ47="Under Process", "Under Process","No")),IF(AM47="Vacant",IF(D54="Yes","No","Vacant"),IF(AM47="NA",IF(D54="Yes","No","NA"),"No"))))))</f>
        <v>Yes</v>
      </c>
      <c r="AU47" s="30"/>
      <c r="AV47" s="31"/>
      <c r="AW47" s="31"/>
      <c r="AX47" s="2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1:74" s="42" customFormat="1" x14ac:dyDescent="0.25">
      <c r="A48" s="25">
        <v>45</v>
      </c>
      <c r="B48" s="23" t="s">
        <v>216</v>
      </c>
      <c r="C48" s="23" t="s">
        <v>113</v>
      </c>
      <c r="D48" s="26" t="s">
        <v>217</v>
      </c>
      <c r="E48" s="23">
        <v>2</v>
      </c>
      <c r="F48" s="23" t="s">
        <v>206</v>
      </c>
      <c r="G48" s="23">
        <f>VLOOKUP(C48,[2]Sheet2!$T$3:$V$92,3,FALSE)</f>
        <v>5</v>
      </c>
      <c r="H48" s="23" t="s">
        <v>68</v>
      </c>
      <c r="I48" s="23" t="s">
        <v>55</v>
      </c>
      <c r="J48" s="23">
        <v>2</v>
      </c>
      <c r="K48" s="6">
        <v>0.7</v>
      </c>
      <c r="L48" s="23" t="s">
        <v>218</v>
      </c>
      <c r="M48" s="23"/>
      <c r="N48" s="23"/>
      <c r="O48" s="23" t="str">
        <f t="shared" si="3"/>
        <v/>
      </c>
      <c r="P48" s="23"/>
      <c r="Q48" s="23"/>
      <c r="R48" s="27">
        <v>45112</v>
      </c>
      <c r="S48" s="27">
        <v>45112</v>
      </c>
      <c r="T48" s="23">
        <v>50746222</v>
      </c>
      <c r="U48" s="28">
        <v>4210107704097</v>
      </c>
      <c r="V48" s="23"/>
      <c r="W48" s="23" t="s">
        <v>208</v>
      </c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 t="s">
        <v>73</v>
      </c>
      <c r="AN48" s="23"/>
      <c r="AO48" s="23"/>
      <c r="AP48" s="23"/>
      <c r="AQ48" s="23"/>
      <c r="AR48" s="23"/>
      <c r="AS48" s="23" t="str">
        <f t="shared" si="4"/>
        <v>No</v>
      </c>
      <c r="AT48" s="29" t="str">
        <f>IF(AM48="Matric",IF(AN48="Yes","Yes",IF(AN48="Under Process", "Under Process","No")),IF(AM48="Inter",IF(AO48="Yes","Yes",IF(AO48="Under Process", "Under Process","No")),IF(AM48="Bachelor",IF(AP48="Yes","Yes",IF(AP48="Under Process", "Under Process","No")),IF(AM48="Master",IF(AQ48="Yes","Yes",IF(AQ48="Under Process", "Under Process","No")),IF(AM48="Vacant",IF(D55="Yes","No","Vacant"),IF(AM48="NA",IF(D55="Yes","No","NA"),"No"))))))</f>
        <v>NA</v>
      </c>
      <c r="AU48" s="30"/>
      <c r="AV48" s="31"/>
      <c r="AW48" s="31"/>
      <c r="AX48" s="2"/>
    </row>
    <row r="49" spans="1:74" x14ac:dyDescent="0.25">
      <c r="A49" s="25">
        <v>104</v>
      </c>
      <c r="B49" s="23" t="s">
        <v>219</v>
      </c>
      <c r="C49" s="23" t="s">
        <v>220</v>
      </c>
      <c r="D49" s="26" t="s">
        <v>221</v>
      </c>
      <c r="E49" s="23">
        <v>13</v>
      </c>
      <c r="F49" s="23" t="s">
        <v>131</v>
      </c>
      <c r="G49" s="23">
        <f>VLOOKUP(C49,[2]Sheet2!$T$3:$V$92,3,FALSE)</f>
        <v>6</v>
      </c>
      <c r="H49" s="23" t="s">
        <v>68</v>
      </c>
      <c r="I49" s="23" t="s">
        <v>55</v>
      </c>
      <c r="J49" s="23">
        <v>4</v>
      </c>
      <c r="K49" s="6">
        <v>0.53</v>
      </c>
      <c r="L49" s="23" t="s">
        <v>222</v>
      </c>
      <c r="M49" s="23"/>
      <c r="N49" s="23"/>
      <c r="O49" s="23" t="str">
        <f t="shared" si="3"/>
        <v/>
      </c>
      <c r="P49" s="23"/>
      <c r="Q49" s="23"/>
      <c r="R49" s="27">
        <v>38212</v>
      </c>
      <c r="S49" s="27">
        <v>44197</v>
      </c>
      <c r="T49" s="23">
        <v>10112779</v>
      </c>
      <c r="U49" s="28">
        <v>4220125373115</v>
      </c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 t="s">
        <v>41</v>
      </c>
      <c r="AN49" s="23" t="s">
        <v>58</v>
      </c>
      <c r="AO49" s="23" t="s">
        <v>58</v>
      </c>
      <c r="AP49" s="32" t="s">
        <v>58</v>
      </c>
      <c r="AQ49" s="23"/>
      <c r="AR49" s="23"/>
      <c r="AS49" s="23" t="str">
        <f>IF(AND(AN49="Yes", AO49="Yes"), "Yes", IF(AND(AN49="", AO49=""), "No", "Incomplete"))</f>
        <v>Yes</v>
      </c>
      <c r="AT49" s="29" t="str">
        <f>IF(AM49="Matric",IF(AN49="Yes","Yes",IF(AN49="Under Process", "Under Process","No")),IF(AM49="Inter",IF(AO49="Yes","Yes",IF(AO49="Under Process", "Under Process","No")),IF(AM49="Bachelor",IF(AP49="Yes","Yes",IF(AP49="Under Process", "Under Process","No")),IF(AM49="Master",IF(AQ49="Yes","Yes",IF(AQ49="Under Process", "Under Process","No")),IF(AM49="Vacant",IF(D56="Yes","No","Vacant"),IF(AM49="NA",IF(D56="Yes","No","NA"),"No"))))))</f>
        <v>Yes</v>
      </c>
      <c r="AU49" s="30"/>
      <c r="AV49" s="31" t="s">
        <v>64</v>
      </c>
      <c r="AW49" s="31"/>
      <c r="AX49" s="2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1:74" x14ac:dyDescent="0.25">
      <c r="A50" s="25">
        <v>47</v>
      </c>
      <c r="B50" s="23" t="s">
        <v>223</v>
      </c>
      <c r="C50" s="23" t="s">
        <v>220</v>
      </c>
      <c r="D50" s="26" t="s">
        <v>224</v>
      </c>
      <c r="E50" s="23">
        <v>11</v>
      </c>
      <c r="F50" s="23" t="s">
        <v>138</v>
      </c>
      <c r="G50" s="23">
        <f>VLOOKUP(C50,[2]Sheet2!$T$3:$V$92,3,FALSE)</f>
        <v>6</v>
      </c>
      <c r="H50" s="23" t="s">
        <v>68</v>
      </c>
      <c r="I50" s="23" t="s">
        <v>55</v>
      </c>
      <c r="J50" s="23"/>
      <c r="K50" s="6">
        <v>0</v>
      </c>
      <c r="L50" s="23"/>
      <c r="M50" s="23"/>
      <c r="N50" s="23"/>
      <c r="O50" s="23" t="str">
        <f t="shared" ref="O50:O76" si="5">IF(ISNUMBER(SEARCH("to", N50)),
_xlfn.LET(
    _xlpm.text_n3, N50,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50" s="23"/>
      <c r="Q50" s="23"/>
      <c r="R50" s="27">
        <v>35365</v>
      </c>
      <c r="S50" s="27">
        <v>45551</v>
      </c>
      <c r="T50" s="23">
        <v>10112227</v>
      </c>
      <c r="U50" s="28">
        <v>4210155725033</v>
      </c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 t="s">
        <v>39</v>
      </c>
      <c r="AN50" s="32" t="s">
        <v>58</v>
      </c>
      <c r="AO50" s="23"/>
      <c r="AP50" s="23"/>
      <c r="AQ50" s="23"/>
      <c r="AR50" s="23"/>
      <c r="AS50" s="23" t="str">
        <f>IF(AND(AN50="Yes"), "Yes", IF(AND(AN50=""), "No", "Incomplete"))</f>
        <v>Yes</v>
      </c>
      <c r="AT50" s="29" t="str">
        <f>IF(AM50="Matric",IF(AN50="Yes","Yes",IF(AN50="Under Process", "Under Process","No")),IF(AM50="Inter",IF(AO50="Yes","Yes",IF(AO50="Under Process", "Under Process","No")),IF(AM50="Bachelor",IF(AP50="Yes","Yes",IF(AP50="Under Process", "Under Process","No")),IF(AM50="Master",IF(AQ50="Yes","Yes",IF(AQ50="Under Process", "Under Process","No")),IF(AM50="Vacant",IF(D2="Yes","No","Vacant"),IF(AM50="NA",IF(D2="Yes","No","NA"),"No"))))))</f>
        <v>Yes</v>
      </c>
      <c r="AU50" s="30"/>
      <c r="AV50" s="31" t="s">
        <v>64</v>
      </c>
      <c r="AW50" s="31"/>
      <c r="AX50" s="2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1:74" x14ac:dyDescent="0.25">
      <c r="A51" s="25">
        <v>49</v>
      </c>
      <c r="B51" s="23" t="s">
        <v>225</v>
      </c>
      <c r="C51" s="23" t="s">
        <v>220</v>
      </c>
      <c r="D51" s="26" t="s">
        <v>221</v>
      </c>
      <c r="E51" s="23">
        <v>11</v>
      </c>
      <c r="F51" s="23" t="s">
        <v>138</v>
      </c>
      <c r="G51" s="23">
        <f>VLOOKUP(C51,[2]Sheet2!$T$3:$V$92,3,FALSE)</f>
        <v>6</v>
      </c>
      <c r="H51" s="23" t="s">
        <v>68</v>
      </c>
      <c r="I51" s="23" t="s">
        <v>55</v>
      </c>
      <c r="J51" s="23">
        <v>1</v>
      </c>
      <c r="K51" s="6">
        <v>0.73</v>
      </c>
      <c r="L51" s="23" t="s">
        <v>226</v>
      </c>
      <c r="M51" s="23"/>
      <c r="N51" s="23"/>
      <c r="O51" s="23" t="str">
        <f t="shared" si="5"/>
        <v/>
      </c>
      <c r="P51" s="23"/>
      <c r="Q51" s="23"/>
      <c r="R51" s="27">
        <v>36903</v>
      </c>
      <c r="S51" s="27">
        <v>44866</v>
      </c>
      <c r="T51" s="23">
        <v>10112559</v>
      </c>
      <c r="U51" s="28">
        <v>4220105374981</v>
      </c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 t="s">
        <v>39</v>
      </c>
      <c r="AN51" s="23" t="s">
        <v>58</v>
      </c>
      <c r="AO51" s="23"/>
      <c r="AP51" s="23"/>
      <c r="AQ51" s="23"/>
      <c r="AR51" s="23"/>
      <c r="AS51" s="23" t="str">
        <f>IF(AND(AN51="Yes"), "Yes", IF(AND(AN51=""), "No", "Incomplete"))</f>
        <v>Yes</v>
      </c>
      <c r="AT51" s="29" t="str">
        <f>IF(AM51="Matric",IF(AN51="Yes","Yes",IF(AN51="Under Process", "Under Process","No")),IF(AM51="Inter",IF(AO51="Yes","Yes",IF(AO51="Under Process", "Under Process","No")),IF(AM51="Bachelor",IF(AP51="Yes","Yes",IF(AP51="Under Process", "Under Process","No")),IF(AM51="Master",IF(AQ51="Yes","Yes",IF(AQ51="Under Process", "Under Process","No")),IF(AM51="Vacant",IF(D3="Yes","No","Vacant"),IF(AM51="NA",IF(D3="Yes","No","NA"),"No"))))))</f>
        <v>Yes</v>
      </c>
      <c r="AU51" s="30"/>
      <c r="AV51" s="31"/>
      <c r="AW51" s="31"/>
      <c r="AX51" s="2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1:74" x14ac:dyDescent="0.25">
      <c r="A52" s="25">
        <v>582</v>
      </c>
      <c r="B52" s="23" t="s">
        <v>227</v>
      </c>
      <c r="C52" s="23" t="s">
        <v>228</v>
      </c>
      <c r="D52" s="26" t="s">
        <v>229</v>
      </c>
      <c r="E52" s="23">
        <v>11</v>
      </c>
      <c r="F52" s="23" t="s">
        <v>138</v>
      </c>
      <c r="G52" s="23">
        <f>VLOOKUP(C52,[2]Sheet2!$T$3:$V$92,3,FALSE)</f>
        <v>21</v>
      </c>
      <c r="H52" s="23" t="s">
        <v>68</v>
      </c>
      <c r="I52" s="23" t="s">
        <v>55</v>
      </c>
      <c r="J52" s="23">
        <v>3</v>
      </c>
      <c r="K52" s="6">
        <v>0.68</v>
      </c>
      <c r="L52" s="23" t="s">
        <v>230</v>
      </c>
      <c r="M52" s="23"/>
      <c r="N52" s="23"/>
      <c r="O52" s="23" t="str">
        <f t="shared" si="5"/>
        <v/>
      </c>
      <c r="P52" s="23"/>
      <c r="Q52" s="23"/>
      <c r="R52" s="27"/>
      <c r="S52" s="27"/>
      <c r="T52" s="23">
        <v>50181340</v>
      </c>
      <c r="U52" s="28">
        <v>4230164821729</v>
      </c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 t="s">
        <v>40</v>
      </c>
      <c r="AN52" s="32" t="s">
        <v>58</v>
      </c>
      <c r="AO52" s="32" t="s">
        <v>58</v>
      </c>
      <c r="AP52" s="23"/>
      <c r="AQ52" s="23"/>
      <c r="AR52" s="23"/>
      <c r="AS52" s="23" t="str">
        <f>IF(AND(AN52="Yes"), "Yes", IF(AND(AN52=""), "No", "Incomplete"))</f>
        <v>Yes</v>
      </c>
      <c r="AT52" s="29" t="str">
        <f>IF(AM52="Matric",IF(AN52="Yes","Yes",IF(AN52="Under Process", "Under Process","No")),IF(AM52="Inter",IF(AO52="Yes","Yes",IF(AO52="Under Process", "Under Process","No")),IF(AM52="Bachelor",IF(AP52="Yes","Yes",IF(AP52="Under Process", "Under Process","No")),IF(AM52="Master",IF(AQ52="Yes","Yes",IF(AQ52="Under Process", "Under Process","No")),IF(AM52="Vacant",IF(D57="Yes","No","Vacant"),IF(AM52="NA",IF(D57="Yes","No","NA"),"No"))))))</f>
        <v>Yes</v>
      </c>
      <c r="AU52" s="30"/>
      <c r="AV52" s="31" t="s">
        <v>64</v>
      </c>
      <c r="AW52" s="31" t="s">
        <v>59</v>
      </c>
      <c r="AX52" s="2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1:74" x14ac:dyDescent="0.25">
      <c r="A53" s="25">
        <v>50</v>
      </c>
      <c r="B53" s="23" t="s">
        <v>231</v>
      </c>
      <c r="C53" s="23" t="s">
        <v>232</v>
      </c>
      <c r="D53" s="26" t="s">
        <v>66</v>
      </c>
      <c r="E53" s="23">
        <v>17</v>
      </c>
      <c r="F53" s="23" t="s">
        <v>233</v>
      </c>
      <c r="G53" s="23">
        <f>VLOOKUP(C53,[2]Sheet2!$T$3:$V$92,3,FALSE)</f>
        <v>7</v>
      </c>
      <c r="H53" s="23" t="s">
        <v>54</v>
      </c>
      <c r="I53" s="23" t="s">
        <v>55</v>
      </c>
      <c r="J53" s="23"/>
      <c r="L53" s="23"/>
      <c r="M53" s="23"/>
      <c r="N53" s="23"/>
      <c r="O53" s="23" t="str">
        <f t="shared" si="5"/>
        <v/>
      </c>
      <c r="P53" s="23"/>
      <c r="Q53" s="23"/>
      <c r="R53" s="27"/>
      <c r="S53" s="27"/>
      <c r="T53" s="23"/>
      <c r="U53" s="28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 t="s">
        <v>66</v>
      </c>
      <c r="AN53" s="23"/>
      <c r="AO53" s="23"/>
      <c r="AP53" s="23"/>
      <c r="AQ53" s="23"/>
      <c r="AR53" s="23"/>
      <c r="AS53" s="23" t="str">
        <f>IF(AND(AN53="Yes", AO53="Yes", AP53="Yes"), "Yes", IF(AND(AN53="", AO53="", AP53=""), "No", "Incomplete"))</f>
        <v>No</v>
      </c>
      <c r="AT53" s="29" t="str">
        <f>IF(AM53="Matric",IF(AN53="Yes","Yes",IF(AN53="Under Process", "Under Process","No")),IF(AM53="Inter",IF(AO53="Yes","Yes",IF(AO53="Under Process", "Under Process","No")),IF(AM53="Bachelor",IF(AP53="Yes","Yes",IF(AP53="Under Process", "Under Process","No")),IF(AM53="Master",IF(AQ53="Yes","Yes",IF(AQ53="Under Process", "Under Process","No")),IF(AM53="Vacant",IF(D59="Yes","No","Vacant"),IF(AM53="NA",IF(D59="Yes","No","NA"),"No"))))))</f>
        <v>Vacant</v>
      </c>
      <c r="AU53" s="30"/>
      <c r="AV53" s="31"/>
      <c r="AW53" s="31"/>
      <c r="AX53" s="2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</row>
    <row r="54" spans="1:74" ht="28.5" x14ac:dyDescent="0.25">
      <c r="A54" s="25">
        <v>665</v>
      </c>
      <c r="B54" s="23" t="s">
        <v>234</v>
      </c>
      <c r="C54" s="23" t="s">
        <v>232</v>
      </c>
      <c r="D54" s="26" t="s">
        <v>235</v>
      </c>
      <c r="E54" s="23">
        <v>15</v>
      </c>
      <c r="F54" s="23" t="s">
        <v>108</v>
      </c>
      <c r="G54" s="23">
        <f>VLOOKUP(C54,[2]Sheet2!$T$3:$V$92,3,FALSE)</f>
        <v>7</v>
      </c>
      <c r="H54" s="23" t="s">
        <v>68</v>
      </c>
      <c r="I54" s="23" t="s">
        <v>55</v>
      </c>
      <c r="J54" s="23">
        <v>1</v>
      </c>
      <c r="K54" s="6">
        <v>0.7</v>
      </c>
      <c r="L54" s="23" t="s">
        <v>236</v>
      </c>
      <c r="M54" s="23"/>
      <c r="N54" s="23" t="s">
        <v>237</v>
      </c>
      <c r="O54" s="23" t="e">
        <f t="shared" ca="1" si="5"/>
        <v>#NAME?</v>
      </c>
      <c r="P54" s="23" t="s">
        <v>238</v>
      </c>
      <c r="Q54" s="23" t="s">
        <v>97</v>
      </c>
      <c r="R54" s="27"/>
      <c r="S54" s="27"/>
      <c r="T54" s="23">
        <v>50191803</v>
      </c>
      <c r="U54" s="28">
        <v>4240116017789</v>
      </c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 t="s">
        <v>42</v>
      </c>
      <c r="AN54" s="32" t="s">
        <v>58</v>
      </c>
      <c r="AO54" s="23"/>
      <c r="AP54" s="32" t="s">
        <v>58</v>
      </c>
      <c r="AQ54" s="32" t="s">
        <v>58</v>
      </c>
      <c r="AR54" s="23"/>
      <c r="AS54" s="23" t="str">
        <f>IF(AND(AN54="Yes", AO54="Yes", AP54="Yes"), "Yes", IF(AND(AN54="", AO54="", AP54=""), "No", "Incomplete"))</f>
        <v>Incomplete</v>
      </c>
      <c r="AT54" s="29" t="str">
        <f>IF(AM54="Matric",IF(AN54="Yes","Yes",IF(AN54="Under Process", "Under Process","No")),IF(AM54="Inter",IF(AO54="Yes","Yes",IF(AO54="Under Process", "Under Process","No")),IF(AM54="Bachelor",IF(AP54="Yes","Yes",IF(AP54="Under Process", "Under Process","No")),IF(AM54="Master",IF(AQ54="Yes","Yes",IF(AQ54="Under Process", "Under Process","No")),IF(AM54="Vacant",IF(D60="Yes","No","Vacant"),IF(AM54="NA",IF(D60="Yes","No","NA"),"No"))))))</f>
        <v>Yes</v>
      </c>
      <c r="AU54" s="30"/>
      <c r="AV54" s="31" t="s">
        <v>64</v>
      </c>
      <c r="AW54" s="31" t="s">
        <v>59</v>
      </c>
      <c r="AX54" s="2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</row>
    <row r="55" spans="1:74" x14ac:dyDescent="0.25">
      <c r="A55" s="25">
        <v>52</v>
      </c>
      <c r="B55" s="23" t="s">
        <v>239</v>
      </c>
      <c r="C55" s="23" t="s">
        <v>232</v>
      </c>
      <c r="D55" s="26" t="s">
        <v>240</v>
      </c>
      <c r="E55" s="23">
        <v>13</v>
      </c>
      <c r="F55" s="23" t="s">
        <v>131</v>
      </c>
      <c r="G55" s="23">
        <f>VLOOKUP(C55,[2]Sheet2!$T$3:$V$92,3,FALSE)</f>
        <v>7</v>
      </c>
      <c r="H55" s="23" t="s">
        <v>68</v>
      </c>
      <c r="I55" s="23" t="s">
        <v>55</v>
      </c>
      <c r="J55" s="23">
        <v>4</v>
      </c>
      <c r="K55" s="6">
        <v>0.7</v>
      </c>
      <c r="L55" s="23" t="s">
        <v>241</v>
      </c>
      <c r="M55" s="23"/>
      <c r="N55" s="23"/>
      <c r="O55" s="23" t="str">
        <f t="shared" si="5"/>
        <v/>
      </c>
      <c r="P55" s="23"/>
      <c r="Q55" s="23"/>
      <c r="R55" s="27"/>
      <c r="S55" s="27"/>
      <c r="T55" s="23">
        <v>50223410</v>
      </c>
      <c r="U55" s="28">
        <v>4220194687581</v>
      </c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 t="s">
        <v>40</v>
      </c>
      <c r="AN55" s="23"/>
      <c r="AO55" s="32" t="s">
        <v>58</v>
      </c>
      <c r="AP55" s="23"/>
      <c r="AQ55" s="23"/>
      <c r="AR55" s="23"/>
      <c r="AS55" s="23" t="str">
        <f>IF(AND(AN55="Yes", AO55="Yes"), "Yes", IF(AND(AN55="", AO55=""), "No", "Incomplete"))</f>
        <v>Incomplete</v>
      </c>
      <c r="AT55" s="29" t="str">
        <f>IF(AM55="Matric",IF(AN55="Yes","Yes",IF(AN55="Under Process", "Under Process","No")),IF(AM55="Inter",IF(AO55="Yes","Yes",IF(AO55="Under Process", "Under Process","No")),IF(AM55="Bachelor",IF(AP55="Yes","Yes",IF(AP55="Under Process", "Under Process","No")),IF(AM55="Master",IF(AQ55="Yes","Yes",IF(AQ55="Under Process", "Under Process","No")),IF(AM55="Vacant",IF(D61="Yes","No","Vacant"),IF(AM55="NA",IF(D61="Yes","No","NA"),"No"))))))</f>
        <v>Yes</v>
      </c>
      <c r="AU55" s="30"/>
      <c r="AV55" s="31"/>
      <c r="AW55" s="31"/>
      <c r="AX55" s="2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</row>
    <row r="56" spans="1:74" x14ac:dyDescent="0.25">
      <c r="A56" s="25">
        <v>53</v>
      </c>
      <c r="B56" s="23" t="s">
        <v>242</v>
      </c>
      <c r="C56" s="23" t="s">
        <v>232</v>
      </c>
      <c r="D56" s="26" t="s">
        <v>243</v>
      </c>
      <c r="E56" s="23">
        <v>4</v>
      </c>
      <c r="F56" s="23" t="s">
        <v>71</v>
      </c>
      <c r="G56" s="23">
        <f>VLOOKUP(C56,[2]Sheet2!$T$3:$V$92,3,FALSE)</f>
        <v>7</v>
      </c>
      <c r="H56" s="23" t="s">
        <v>68</v>
      </c>
      <c r="I56" s="23" t="s">
        <v>55</v>
      </c>
      <c r="J56" s="23">
        <v>3</v>
      </c>
      <c r="K56" s="6">
        <v>0.68</v>
      </c>
      <c r="L56" s="23" t="s">
        <v>244</v>
      </c>
      <c r="M56" s="23"/>
      <c r="N56" s="23"/>
      <c r="O56" s="23" t="str">
        <f t="shared" si="5"/>
        <v/>
      </c>
      <c r="P56" s="23"/>
      <c r="Q56" s="23"/>
      <c r="R56" s="27"/>
      <c r="S56" s="27"/>
      <c r="T56" s="23">
        <v>50220242</v>
      </c>
      <c r="U56" s="28">
        <v>4220168502625</v>
      </c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 t="s">
        <v>73</v>
      </c>
      <c r="AN56" s="23"/>
      <c r="AO56" s="23"/>
      <c r="AP56" s="23"/>
      <c r="AQ56" s="23"/>
      <c r="AR56" s="23"/>
      <c r="AS56" s="23" t="str">
        <f>IF(AND(AN56="Yes"), "Yes", IF(AND(AN56=""), "No", "Incomplete"))</f>
        <v>No</v>
      </c>
      <c r="AT56" s="29" t="str">
        <f>IF(AM56="Matric",IF(AN56="Yes","Yes",IF(AN56="Under Process", "Under Process","No")),IF(AM56="Inter",IF(AO56="Yes","Yes",IF(AO56="Under Process", "Under Process","No")),IF(AM56="Bachelor",IF(AP56="Yes","Yes",IF(AP56="Under Process", "Under Process","No")),IF(AM56="Master",IF(AQ56="Yes","Yes",IF(AQ56="Under Process", "Under Process","No")),IF(AM56="Vacant",IF(D62="Yes","No","Vacant"),IF(AM56="NA",IF(D62="Yes","No","NA"),"No"))))))</f>
        <v>NA</v>
      </c>
      <c r="AU56" s="30"/>
      <c r="AV56" s="31"/>
      <c r="AW56" s="31"/>
      <c r="AX56" s="2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</row>
    <row r="57" spans="1:74" x14ac:dyDescent="0.25">
      <c r="A57" s="25">
        <v>54</v>
      </c>
      <c r="B57" s="23" t="s">
        <v>245</v>
      </c>
      <c r="C57" s="23" t="s">
        <v>246</v>
      </c>
      <c r="D57" s="26" t="s">
        <v>247</v>
      </c>
      <c r="E57" s="23">
        <v>13</v>
      </c>
      <c r="F57" s="23" t="s">
        <v>131</v>
      </c>
      <c r="G57" s="23">
        <f>VLOOKUP(C57,[2]Sheet2!$T$3:$V$92,3,FALSE)</f>
        <v>8</v>
      </c>
      <c r="H57" s="23" t="s">
        <v>68</v>
      </c>
      <c r="I57" s="23" t="s">
        <v>55</v>
      </c>
      <c r="J57" s="23">
        <v>4</v>
      </c>
      <c r="K57" s="6">
        <v>0.73</v>
      </c>
      <c r="L57" s="23" t="s">
        <v>248</v>
      </c>
      <c r="M57" s="23"/>
      <c r="N57" s="23"/>
      <c r="O57" s="23" t="str">
        <f t="shared" si="5"/>
        <v/>
      </c>
      <c r="P57" s="23"/>
      <c r="Q57" s="23"/>
      <c r="R57" s="27">
        <v>38666</v>
      </c>
      <c r="S57" s="27">
        <v>45614</v>
      </c>
      <c r="T57" s="23">
        <v>10248587</v>
      </c>
      <c r="U57" s="28">
        <v>4210155525253</v>
      </c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 t="s">
        <v>40</v>
      </c>
      <c r="AN57" s="32" t="s">
        <v>58</v>
      </c>
      <c r="AO57" s="23" t="s">
        <v>58</v>
      </c>
      <c r="AP57" s="23"/>
      <c r="AQ57" s="23"/>
      <c r="AR57" s="23"/>
      <c r="AS57" s="23" t="str">
        <f>IF(AND(AN57="Yes", AO57="Yes"), "Yes", IF(AND(AN57="", AO57=""), "No", "Incomplete"))</f>
        <v>Yes</v>
      </c>
      <c r="AT57" s="29" t="str">
        <f t="shared" ref="AT57:AT89" si="6">IF(AM57="Matric",IF(AN57="Yes","Yes",IF(AN57="Under Process", "Under Process","No")),IF(AM57="Inter",IF(AO57="Yes","Yes",IF(AO57="Under Process", "Under Process","No")),IF(AM57="Bachelor",IF(AP57="Yes","Yes",IF(AP57="Under Process", "Under Process","No")),IF(AM57="Master",IF(AQ57="Yes","Yes",IF(AQ57="Under Process", "Under Process","No")),IF(AM57="Vacant",IF(D65="Yes","No","Vacant"),IF(AM57="NA",IF(D65="Yes","No","NA"),"No"))))))</f>
        <v>Yes</v>
      </c>
      <c r="AU57" s="30"/>
      <c r="AV57" s="31"/>
      <c r="AW57" s="31" t="s">
        <v>59</v>
      </c>
      <c r="AX57" s="2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</row>
    <row r="58" spans="1:74" x14ac:dyDescent="0.25">
      <c r="A58" s="25">
        <v>55</v>
      </c>
      <c r="B58" s="23" t="s">
        <v>249</v>
      </c>
      <c r="C58" s="23" t="s">
        <v>246</v>
      </c>
      <c r="D58" s="26" t="s">
        <v>250</v>
      </c>
      <c r="E58" s="23">
        <v>11</v>
      </c>
      <c r="F58" s="23" t="s">
        <v>138</v>
      </c>
      <c r="G58" s="23">
        <f>VLOOKUP(C58,[2]Sheet2!$T$3:$V$92,3,FALSE)</f>
        <v>8</v>
      </c>
      <c r="H58" s="23" t="s">
        <v>68</v>
      </c>
      <c r="I58" s="23" t="s">
        <v>55</v>
      </c>
      <c r="J58" s="23">
        <v>4</v>
      </c>
      <c r="K58" s="6">
        <v>0.74</v>
      </c>
      <c r="L58" s="23" t="s">
        <v>251</v>
      </c>
      <c r="M58" s="23"/>
      <c r="N58" s="23"/>
      <c r="O58" s="23" t="str">
        <f t="shared" si="5"/>
        <v/>
      </c>
      <c r="P58" s="23"/>
      <c r="Q58" s="23"/>
      <c r="R58" s="27">
        <v>38215</v>
      </c>
      <c r="S58" s="27">
        <v>45275</v>
      </c>
      <c r="T58" s="23">
        <v>10275793</v>
      </c>
      <c r="U58" s="28">
        <v>4210169927447</v>
      </c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 t="s">
        <v>39</v>
      </c>
      <c r="AN58" s="32" t="s">
        <v>58</v>
      </c>
      <c r="AO58" s="23"/>
      <c r="AP58" s="23"/>
      <c r="AQ58" s="23"/>
      <c r="AR58" s="23"/>
      <c r="AS58" s="23" t="str">
        <f>IF(AND(AN58="Yes"), "Yes", IF(AND(AN58=""), "No", "Incomplete"))</f>
        <v>Yes</v>
      </c>
      <c r="AT58" s="29" t="str">
        <f t="shared" si="6"/>
        <v>Yes</v>
      </c>
      <c r="AU58" s="30"/>
      <c r="AV58" s="31"/>
      <c r="AW58" s="31"/>
      <c r="AX58" s="2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</row>
    <row r="59" spans="1:74" x14ac:dyDescent="0.25">
      <c r="A59" s="25">
        <v>56</v>
      </c>
      <c r="B59" s="23" t="s">
        <v>252</v>
      </c>
      <c r="C59" s="23" t="s">
        <v>246</v>
      </c>
      <c r="D59" s="26" t="s">
        <v>253</v>
      </c>
      <c r="E59" s="23">
        <v>4</v>
      </c>
      <c r="F59" s="23" t="s">
        <v>71</v>
      </c>
      <c r="G59" s="23">
        <f>VLOOKUP(C59,[2]Sheet2!$T$3:$V$92,3,FALSE)</f>
        <v>8</v>
      </c>
      <c r="H59" s="23" t="s">
        <v>68</v>
      </c>
      <c r="I59" s="23" t="s">
        <v>55</v>
      </c>
      <c r="J59" s="23">
        <v>4</v>
      </c>
      <c r="K59" s="6">
        <v>0.7</v>
      </c>
      <c r="L59" s="23" t="s">
        <v>254</v>
      </c>
      <c r="M59" s="23"/>
      <c r="N59" s="23"/>
      <c r="O59" s="23" t="str">
        <f t="shared" si="5"/>
        <v/>
      </c>
      <c r="P59" s="23"/>
      <c r="Q59" s="23"/>
      <c r="R59" s="27">
        <v>41416</v>
      </c>
      <c r="S59" s="27">
        <v>41416</v>
      </c>
      <c r="T59" s="23">
        <v>50181225</v>
      </c>
      <c r="U59" s="28">
        <v>4220131699545</v>
      </c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 t="s">
        <v>39</v>
      </c>
      <c r="AN59" s="32" t="s">
        <v>58</v>
      </c>
      <c r="AO59" s="23"/>
      <c r="AP59" s="23"/>
      <c r="AQ59" s="23"/>
      <c r="AR59" s="23"/>
      <c r="AS59" s="23" t="str">
        <f>IF(AND(AN59="Yes"), "Yes", IF(AND(AN59=""), "No", "Incomplete"))</f>
        <v>Yes</v>
      </c>
      <c r="AT59" s="29" t="str">
        <f t="shared" si="6"/>
        <v>Yes</v>
      </c>
      <c r="AU59" s="30"/>
      <c r="AV59" s="31"/>
      <c r="AW59" s="31"/>
      <c r="AX59" s="2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</row>
    <row r="60" spans="1:74" x14ac:dyDescent="0.25">
      <c r="A60" s="25">
        <v>130</v>
      </c>
      <c r="B60" s="23" t="s">
        <v>255</v>
      </c>
      <c r="C60" s="23" t="s">
        <v>256</v>
      </c>
      <c r="D60" s="41" t="s">
        <v>257</v>
      </c>
      <c r="E60" s="23">
        <v>13</v>
      </c>
      <c r="F60" s="23" t="s">
        <v>131</v>
      </c>
      <c r="G60" s="23">
        <f>VLOOKUP(C60,[2]Sheet2!$T$3:$V$92,3,FALSE)</f>
        <v>9</v>
      </c>
      <c r="H60" s="23" t="s">
        <v>68</v>
      </c>
      <c r="I60" s="23" t="s">
        <v>55</v>
      </c>
      <c r="J60" s="23"/>
      <c r="K60" s="6">
        <v>0</v>
      </c>
      <c r="L60" s="23"/>
      <c r="M60" s="23" t="s">
        <v>258</v>
      </c>
      <c r="N60" s="23"/>
      <c r="O60" s="23" t="str">
        <f t="shared" si="5"/>
        <v/>
      </c>
      <c r="P60" s="23"/>
      <c r="Q60" s="23"/>
      <c r="R60" s="27">
        <v>45979</v>
      </c>
      <c r="S60" s="27">
        <v>45979</v>
      </c>
      <c r="T60" s="23"/>
      <c r="U60" s="28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 t="s">
        <v>40</v>
      </c>
      <c r="AN60" s="32" t="s">
        <v>58</v>
      </c>
      <c r="AO60" s="32" t="s">
        <v>58</v>
      </c>
      <c r="AP60" s="23"/>
      <c r="AQ60" s="23"/>
      <c r="AR60" s="23"/>
      <c r="AS60" s="23" t="str">
        <f>IF(AND(AN60="Yes", AO60="Yes"), "Yes", IF(AND(AN60="", AO60=""), "No", "Incomplete"))</f>
        <v>Yes</v>
      </c>
      <c r="AT60" s="29" t="str">
        <f t="shared" si="6"/>
        <v>Yes</v>
      </c>
      <c r="AU60" s="30"/>
      <c r="AV60" s="31"/>
      <c r="AW60" s="31"/>
      <c r="AX60" s="2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</row>
    <row r="61" spans="1:74" x14ac:dyDescent="0.25">
      <c r="A61" s="25">
        <v>58</v>
      </c>
      <c r="B61" s="23" t="s">
        <v>259</v>
      </c>
      <c r="C61" s="23" t="s">
        <v>256</v>
      </c>
      <c r="D61" s="26" t="s">
        <v>260</v>
      </c>
      <c r="E61" s="23">
        <v>11</v>
      </c>
      <c r="F61" s="23" t="s">
        <v>138</v>
      </c>
      <c r="G61" s="23">
        <f>VLOOKUP(C61,[2]Sheet2!$T$3:$V$92,3,FALSE)</f>
        <v>9</v>
      </c>
      <c r="H61" s="23" t="s">
        <v>68</v>
      </c>
      <c r="I61" s="23" t="s">
        <v>55</v>
      </c>
      <c r="J61" s="23">
        <v>4</v>
      </c>
      <c r="K61" s="6">
        <v>0.85</v>
      </c>
      <c r="L61" s="23" t="s">
        <v>261</v>
      </c>
      <c r="M61" s="23"/>
      <c r="N61" s="23"/>
      <c r="O61" s="23" t="str">
        <f t="shared" si="5"/>
        <v/>
      </c>
      <c r="P61" s="23"/>
      <c r="Q61" s="23"/>
      <c r="R61" s="27">
        <v>42552</v>
      </c>
      <c r="S61" s="27">
        <v>42552</v>
      </c>
      <c r="T61" s="23">
        <v>50220245</v>
      </c>
      <c r="U61" s="28">
        <v>4210156572253</v>
      </c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 t="s">
        <v>40</v>
      </c>
      <c r="AN61" s="23"/>
      <c r="AO61" s="32" t="s">
        <v>58</v>
      </c>
      <c r="AP61" s="23"/>
      <c r="AQ61" s="23"/>
      <c r="AR61" s="23"/>
      <c r="AS61" s="23" t="str">
        <f t="shared" ref="AS61:AS66" si="7">IF(AND(AN61="Yes"), "Yes", IF(AND(AN61=""), "No", "Incomplete"))</f>
        <v>No</v>
      </c>
      <c r="AT61" s="29" t="str">
        <f t="shared" si="6"/>
        <v>Yes</v>
      </c>
      <c r="AU61" s="30"/>
      <c r="AV61" s="31" t="s">
        <v>64</v>
      </c>
      <c r="AW61" s="31"/>
      <c r="AX61" s="2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</row>
    <row r="62" spans="1:74" x14ac:dyDescent="0.25">
      <c r="A62" s="25">
        <v>59</v>
      </c>
      <c r="B62" s="23" t="s">
        <v>262</v>
      </c>
      <c r="C62" s="23" t="s">
        <v>256</v>
      </c>
      <c r="D62" s="26" t="s">
        <v>263</v>
      </c>
      <c r="E62" s="23">
        <v>7</v>
      </c>
      <c r="F62" s="23" t="s">
        <v>264</v>
      </c>
      <c r="G62" s="23">
        <f>VLOOKUP(C62,[2]Sheet2!$T$3:$V$92,3,FALSE)</f>
        <v>9</v>
      </c>
      <c r="H62" s="23" t="s">
        <v>68</v>
      </c>
      <c r="I62" s="23" t="s">
        <v>55</v>
      </c>
      <c r="J62" s="23">
        <v>3</v>
      </c>
      <c r="K62" s="6">
        <v>0.72</v>
      </c>
      <c r="L62" s="23" t="s">
        <v>265</v>
      </c>
      <c r="M62" s="23"/>
      <c r="N62" s="23"/>
      <c r="O62" s="23" t="str">
        <f t="shared" si="5"/>
        <v/>
      </c>
      <c r="P62" s="23"/>
      <c r="Q62" s="23"/>
      <c r="R62" s="27" t="s">
        <v>266</v>
      </c>
      <c r="S62" s="27">
        <v>45433</v>
      </c>
      <c r="T62" s="23">
        <v>50237247</v>
      </c>
      <c r="U62" s="28">
        <v>4210194919153</v>
      </c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 t="s">
        <v>73</v>
      </c>
      <c r="AN62" s="23"/>
      <c r="AO62" s="23"/>
      <c r="AP62" s="23"/>
      <c r="AQ62" s="23"/>
      <c r="AR62" s="23"/>
      <c r="AS62" s="23" t="str">
        <f t="shared" si="7"/>
        <v>No</v>
      </c>
      <c r="AT62" s="29" t="str">
        <f t="shared" si="6"/>
        <v>NA</v>
      </c>
      <c r="AU62" s="30"/>
      <c r="AV62" s="31" t="s">
        <v>64</v>
      </c>
      <c r="AW62" s="31"/>
      <c r="AX62" s="2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</row>
    <row r="63" spans="1:74" x14ac:dyDescent="0.25">
      <c r="A63" s="25">
        <v>60</v>
      </c>
      <c r="B63" s="23" t="s">
        <v>267</v>
      </c>
      <c r="C63" s="23" t="s">
        <v>256</v>
      </c>
      <c r="D63" s="26" t="s">
        <v>268</v>
      </c>
      <c r="E63" s="23">
        <v>7</v>
      </c>
      <c r="F63" s="23" t="s">
        <v>264</v>
      </c>
      <c r="G63" s="23">
        <f>VLOOKUP(C63,[2]Sheet2!$T$3:$V$92,3,FALSE)</f>
        <v>9</v>
      </c>
      <c r="H63" s="23" t="s">
        <v>68</v>
      </c>
      <c r="I63" s="23" t="s">
        <v>55</v>
      </c>
      <c r="J63" s="23">
        <v>3</v>
      </c>
      <c r="K63" s="6">
        <v>0.73</v>
      </c>
      <c r="L63" s="23" t="s">
        <v>269</v>
      </c>
      <c r="M63" s="23"/>
      <c r="N63" s="23"/>
      <c r="O63" s="23" t="str">
        <f t="shared" si="5"/>
        <v/>
      </c>
      <c r="P63" s="23"/>
      <c r="Q63" s="23"/>
      <c r="R63" s="27">
        <v>35351</v>
      </c>
      <c r="S63" s="27">
        <v>45870</v>
      </c>
      <c r="T63" s="23">
        <v>10179647</v>
      </c>
      <c r="U63" s="28">
        <v>4320227361999</v>
      </c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 t="s">
        <v>73</v>
      </c>
      <c r="AN63" s="23"/>
      <c r="AO63" s="23"/>
      <c r="AP63" s="23"/>
      <c r="AQ63" s="23"/>
      <c r="AR63" s="23"/>
      <c r="AS63" s="23" t="str">
        <f t="shared" si="7"/>
        <v>No</v>
      </c>
      <c r="AT63" s="29" t="str">
        <f t="shared" si="6"/>
        <v>NA</v>
      </c>
      <c r="AU63" s="30"/>
      <c r="AV63" s="31"/>
      <c r="AW63" s="31"/>
      <c r="AX63" s="2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</row>
    <row r="64" spans="1:74" x14ac:dyDescent="0.25">
      <c r="A64" s="25">
        <v>61</v>
      </c>
      <c r="B64" s="23" t="s">
        <v>270</v>
      </c>
      <c r="C64" s="23" t="s">
        <v>256</v>
      </c>
      <c r="D64" s="26" t="s">
        <v>271</v>
      </c>
      <c r="E64" s="23">
        <v>5</v>
      </c>
      <c r="F64" s="23" t="s">
        <v>264</v>
      </c>
      <c r="G64" s="23">
        <f>VLOOKUP(C64,[2]Sheet2!$T$3:$V$92,3,FALSE)</f>
        <v>9</v>
      </c>
      <c r="H64" s="23" t="s">
        <v>68</v>
      </c>
      <c r="I64" s="23" t="s">
        <v>55</v>
      </c>
      <c r="J64" s="23"/>
      <c r="K64" s="6">
        <v>0</v>
      </c>
      <c r="L64" s="23"/>
      <c r="M64" s="23"/>
      <c r="N64" s="23"/>
      <c r="O64" s="23" t="str">
        <f t="shared" si="5"/>
        <v/>
      </c>
      <c r="P64" s="23"/>
      <c r="Q64" s="23"/>
      <c r="R64" s="27">
        <v>45867</v>
      </c>
      <c r="S64" s="27">
        <v>45867</v>
      </c>
      <c r="T64" s="23"/>
      <c r="U64" s="28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 t="s">
        <v>272</v>
      </c>
      <c r="AN64" s="32" t="s">
        <v>58</v>
      </c>
      <c r="AO64" s="32" t="s">
        <v>58</v>
      </c>
      <c r="AP64" s="23"/>
      <c r="AQ64" s="23"/>
      <c r="AR64" s="23"/>
      <c r="AS64" s="23" t="str">
        <f t="shared" si="7"/>
        <v>Yes</v>
      </c>
      <c r="AT64" s="29" t="str">
        <f t="shared" si="6"/>
        <v>Yes</v>
      </c>
      <c r="AU64" s="30"/>
      <c r="AV64" s="31"/>
      <c r="AW64" s="31"/>
      <c r="AX64" s="2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</row>
    <row r="65" spans="1:74" x14ac:dyDescent="0.25">
      <c r="A65" s="25">
        <v>62</v>
      </c>
      <c r="B65" s="23" t="s">
        <v>273</v>
      </c>
      <c r="C65" s="23" t="s">
        <v>256</v>
      </c>
      <c r="D65" s="26" t="s">
        <v>274</v>
      </c>
      <c r="E65" s="23">
        <v>5</v>
      </c>
      <c r="F65" s="23" t="s">
        <v>264</v>
      </c>
      <c r="G65" s="23">
        <f>VLOOKUP(C65,[2]Sheet2!$T$3:$V$92,3,FALSE)</f>
        <v>9</v>
      </c>
      <c r="H65" s="23" t="s">
        <v>68</v>
      </c>
      <c r="I65" s="23" t="s">
        <v>55</v>
      </c>
      <c r="J65" s="23">
        <v>3</v>
      </c>
      <c r="K65" s="6">
        <v>0.63</v>
      </c>
      <c r="L65" s="23" t="s">
        <v>135</v>
      </c>
      <c r="M65" s="23"/>
      <c r="N65" s="23"/>
      <c r="O65" s="23" t="str">
        <f t="shared" si="5"/>
        <v/>
      </c>
      <c r="P65" s="23"/>
      <c r="Q65" s="23"/>
      <c r="R65" s="27">
        <v>45098</v>
      </c>
      <c r="S65" s="27">
        <v>45098</v>
      </c>
      <c r="T65" s="23">
        <v>50746202</v>
      </c>
      <c r="U65" s="28">
        <v>4550116978339</v>
      </c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 t="s">
        <v>39</v>
      </c>
      <c r="AN65" s="32" t="s">
        <v>58</v>
      </c>
      <c r="AO65" s="23"/>
      <c r="AP65" s="23"/>
      <c r="AQ65" s="23"/>
      <c r="AR65" s="23"/>
      <c r="AS65" s="23" t="str">
        <f t="shared" si="7"/>
        <v>Yes</v>
      </c>
      <c r="AT65" s="29" t="str">
        <f t="shared" si="6"/>
        <v>Yes</v>
      </c>
      <c r="AU65" s="30"/>
      <c r="AV65" s="31"/>
      <c r="AW65" s="31"/>
      <c r="AX65" s="2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</row>
    <row r="66" spans="1:74" x14ac:dyDescent="0.25">
      <c r="A66" s="25">
        <v>63</v>
      </c>
      <c r="B66" s="23" t="s">
        <v>275</v>
      </c>
      <c r="C66" s="23" t="s">
        <v>256</v>
      </c>
      <c r="D66" s="41" t="s">
        <v>276</v>
      </c>
      <c r="E66" s="23">
        <v>5</v>
      </c>
      <c r="F66" s="23" t="s">
        <v>264</v>
      </c>
      <c r="G66" s="23">
        <f>VLOOKUP(C66,[2]Sheet2!$T$3:$V$92,3,FALSE)</f>
        <v>9</v>
      </c>
      <c r="H66" s="23" t="s">
        <v>68</v>
      </c>
      <c r="I66" s="23" t="s">
        <v>55</v>
      </c>
      <c r="J66" s="23"/>
      <c r="K66" s="6">
        <v>0</v>
      </c>
      <c r="L66" s="23"/>
      <c r="M66" s="23"/>
      <c r="N66" s="23"/>
      <c r="O66" s="23" t="str">
        <f t="shared" si="5"/>
        <v/>
      </c>
      <c r="P66" s="23"/>
      <c r="Q66" s="23"/>
      <c r="R66" s="27">
        <v>45868</v>
      </c>
      <c r="S66" s="27">
        <v>45868</v>
      </c>
      <c r="T66" s="23"/>
      <c r="U66" s="28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 t="s">
        <v>40</v>
      </c>
      <c r="AN66" s="32" t="s">
        <v>58</v>
      </c>
      <c r="AO66" s="39" t="s">
        <v>58</v>
      </c>
      <c r="AP66" s="23"/>
      <c r="AQ66" s="23"/>
      <c r="AR66" s="23"/>
      <c r="AS66" s="23" t="str">
        <f t="shared" si="7"/>
        <v>Yes</v>
      </c>
      <c r="AT66" s="29" t="str">
        <f t="shared" si="6"/>
        <v>Yes</v>
      </c>
      <c r="AU66" s="30"/>
      <c r="AV66" s="31"/>
      <c r="AW66" s="31"/>
      <c r="AX66" s="2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</row>
    <row r="67" spans="1:74" x14ac:dyDescent="0.25">
      <c r="A67" s="25">
        <v>64</v>
      </c>
      <c r="B67" s="23" t="s">
        <v>277</v>
      </c>
      <c r="C67" s="23" t="s">
        <v>278</v>
      </c>
      <c r="D67" s="26" t="s">
        <v>66</v>
      </c>
      <c r="E67" s="23">
        <v>18</v>
      </c>
      <c r="F67" s="23" t="s">
        <v>279</v>
      </c>
      <c r="G67" s="23">
        <f>VLOOKUP(C67,[2]Sheet2!$T$3:$V$92,3,FALSE)</f>
        <v>10</v>
      </c>
      <c r="H67" s="23" t="s">
        <v>54</v>
      </c>
      <c r="I67" s="23" t="s">
        <v>55</v>
      </c>
      <c r="J67" s="23"/>
      <c r="L67" s="23"/>
      <c r="M67" s="23"/>
      <c r="N67" s="23"/>
      <c r="O67" s="23" t="str">
        <f t="shared" si="5"/>
        <v/>
      </c>
      <c r="P67" s="23"/>
      <c r="Q67" s="23"/>
      <c r="R67" s="27"/>
      <c r="S67" s="27"/>
      <c r="T67" s="23">
        <v>50711024</v>
      </c>
      <c r="U67" s="28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 t="s">
        <v>66</v>
      </c>
      <c r="AN67" s="23"/>
      <c r="AO67" s="23"/>
      <c r="AP67" s="23"/>
      <c r="AQ67" s="23"/>
      <c r="AR67" s="23"/>
      <c r="AS67" s="23" t="str">
        <f t="shared" ref="AS67:AS72" si="8">IF(AND(AN67="Yes", AO67="Yes", AP67="Yes"), "Yes", IF(AND(AN67="", AO67="", AP67=""), "No", "Incomplete"))</f>
        <v>No</v>
      </c>
      <c r="AT67" s="29" t="str">
        <f t="shared" si="6"/>
        <v>Vacant</v>
      </c>
      <c r="AU67" s="30"/>
      <c r="AV67" s="31"/>
      <c r="AW67" s="31"/>
      <c r="AX67" s="2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</row>
    <row r="68" spans="1:74" x14ac:dyDescent="0.25">
      <c r="A68" s="25">
        <v>65</v>
      </c>
      <c r="B68" s="23" t="s">
        <v>280</v>
      </c>
      <c r="C68" s="23" t="s">
        <v>278</v>
      </c>
      <c r="D68" s="26" t="s">
        <v>66</v>
      </c>
      <c r="E68" s="23">
        <v>17</v>
      </c>
      <c r="F68" s="23" t="s">
        <v>281</v>
      </c>
      <c r="G68" s="23">
        <f>VLOOKUP(C68,[2]Sheet2!$T$3:$V$92,3,FALSE)</f>
        <v>10</v>
      </c>
      <c r="H68" s="23" t="s">
        <v>54</v>
      </c>
      <c r="I68" s="23" t="s">
        <v>55</v>
      </c>
      <c r="J68" s="23"/>
      <c r="L68" s="23"/>
      <c r="M68" s="23"/>
      <c r="N68" s="23"/>
      <c r="O68" s="23" t="str">
        <f t="shared" si="5"/>
        <v/>
      </c>
      <c r="P68" s="23"/>
      <c r="Q68" s="23"/>
      <c r="R68" s="27"/>
      <c r="S68" s="27"/>
      <c r="T68" s="23">
        <v>50621477</v>
      </c>
      <c r="U68" s="28">
        <v>4220169197280</v>
      </c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 t="s">
        <v>66</v>
      </c>
      <c r="AN68" s="23"/>
      <c r="AO68" s="23"/>
      <c r="AP68" s="23"/>
      <c r="AQ68" s="23"/>
      <c r="AR68" s="23"/>
      <c r="AS68" s="23" t="str">
        <f t="shared" si="8"/>
        <v>No</v>
      </c>
      <c r="AT68" s="29" t="str">
        <f t="shared" si="6"/>
        <v>Vacant</v>
      </c>
      <c r="AU68" s="30"/>
      <c r="AV68" s="31"/>
      <c r="AW68" s="31"/>
      <c r="AX68" s="2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</row>
    <row r="69" spans="1:74" x14ac:dyDescent="0.25">
      <c r="A69" s="25">
        <v>66</v>
      </c>
      <c r="B69" s="23" t="s">
        <v>282</v>
      </c>
      <c r="C69" s="23" t="s">
        <v>278</v>
      </c>
      <c r="D69" s="26" t="s">
        <v>283</v>
      </c>
      <c r="E69" s="23">
        <v>16</v>
      </c>
      <c r="F69" s="23" t="s">
        <v>67</v>
      </c>
      <c r="G69" s="23">
        <f>VLOOKUP(C69,[2]Sheet2!$T$3:$V$92,3,FALSE)</f>
        <v>10</v>
      </c>
      <c r="H69" s="23" t="s">
        <v>68</v>
      </c>
      <c r="I69" s="23" t="s">
        <v>55</v>
      </c>
      <c r="J69" s="23">
        <v>3</v>
      </c>
      <c r="K69" s="6">
        <v>0.78</v>
      </c>
      <c r="L69" s="23" t="s">
        <v>284</v>
      </c>
      <c r="M69" s="23"/>
      <c r="N69" s="23"/>
      <c r="O69" s="23" t="str">
        <f t="shared" si="5"/>
        <v/>
      </c>
      <c r="P69" s="23"/>
      <c r="Q69" s="23"/>
      <c r="R69" s="27" t="s">
        <v>285</v>
      </c>
      <c r="S69" s="27">
        <v>44700</v>
      </c>
      <c r="T69" s="23">
        <v>50615624</v>
      </c>
      <c r="U69" s="28">
        <v>4520383837339</v>
      </c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 t="s">
        <v>41</v>
      </c>
      <c r="AN69" s="23" t="s">
        <v>58</v>
      </c>
      <c r="AO69" s="23" t="s">
        <v>58</v>
      </c>
      <c r="AP69" s="23" t="s">
        <v>58</v>
      </c>
      <c r="AQ69" s="23"/>
      <c r="AR69" s="23"/>
      <c r="AS69" s="23" t="str">
        <f t="shared" si="8"/>
        <v>Yes</v>
      </c>
      <c r="AT69" s="29" t="str">
        <f t="shared" si="6"/>
        <v>Yes</v>
      </c>
      <c r="AU69" s="30"/>
      <c r="AV69" s="31"/>
      <c r="AW69" s="31" t="s">
        <v>59</v>
      </c>
      <c r="AX69" s="2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</row>
    <row r="70" spans="1:74" x14ac:dyDescent="0.25">
      <c r="A70" s="25">
        <v>68</v>
      </c>
      <c r="B70" s="23" t="s">
        <v>286</v>
      </c>
      <c r="C70" s="23" t="s">
        <v>278</v>
      </c>
      <c r="D70" s="26" t="s">
        <v>287</v>
      </c>
      <c r="E70" s="23">
        <v>15</v>
      </c>
      <c r="F70" s="23" t="s">
        <v>126</v>
      </c>
      <c r="G70" s="23">
        <f>VLOOKUP(C70,[2]Sheet2!$T$3:$V$92,3,FALSE)</f>
        <v>10</v>
      </c>
      <c r="H70" s="23" t="s">
        <v>68</v>
      </c>
      <c r="I70" s="23" t="s">
        <v>55</v>
      </c>
      <c r="J70" s="23">
        <v>4</v>
      </c>
      <c r="K70" s="6">
        <v>0.83</v>
      </c>
      <c r="L70" s="23" t="s">
        <v>288</v>
      </c>
      <c r="M70" s="23"/>
      <c r="N70" s="23"/>
      <c r="O70" s="23" t="str">
        <f t="shared" si="5"/>
        <v/>
      </c>
      <c r="P70" s="23"/>
      <c r="Q70" s="23"/>
      <c r="R70" s="27">
        <v>39364</v>
      </c>
      <c r="S70" s="27">
        <v>44620</v>
      </c>
      <c r="T70" s="23">
        <v>10416822</v>
      </c>
      <c r="U70" s="28">
        <v>4420391833009</v>
      </c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 t="s">
        <v>41</v>
      </c>
      <c r="AN70" s="23"/>
      <c r="AO70" s="23"/>
      <c r="AP70" s="23" t="s">
        <v>189</v>
      </c>
      <c r="AQ70" s="23"/>
      <c r="AR70" s="23"/>
      <c r="AS70" s="23" t="str">
        <f t="shared" si="8"/>
        <v>Incomplete</v>
      </c>
      <c r="AT70" s="29" t="str">
        <f t="shared" si="6"/>
        <v>No</v>
      </c>
      <c r="AU70" s="30"/>
      <c r="AV70" s="31"/>
      <c r="AW70" s="31"/>
      <c r="AX70" s="2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</row>
    <row r="71" spans="1:74" x14ac:dyDescent="0.25">
      <c r="A71" s="25">
        <v>67</v>
      </c>
      <c r="B71" s="23" t="s">
        <v>289</v>
      </c>
      <c r="C71" s="23" t="s">
        <v>278</v>
      </c>
      <c r="D71" s="26" t="s">
        <v>290</v>
      </c>
      <c r="E71" s="23">
        <v>15</v>
      </c>
      <c r="F71" s="23" t="s">
        <v>108</v>
      </c>
      <c r="G71" s="23">
        <f>VLOOKUP(C71,[2]Sheet2!$T$3:$V$92,3,FALSE)</f>
        <v>10</v>
      </c>
      <c r="H71" s="23" t="s">
        <v>68</v>
      </c>
      <c r="I71" s="23" t="s">
        <v>55</v>
      </c>
      <c r="J71" s="23">
        <v>3</v>
      </c>
      <c r="K71" s="6">
        <v>0.63</v>
      </c>
      <c r="L71" s="23" t="s">
        <v>291</v>
      </c>
      <c r="M71" s="23"/>
      <c r="N71" s="23"/>
      <c r="O71" s="23" t="str">
        <f t="shared" si="5"/>
        <v/>
      </c>
      <c r="P71" s="23"/>
      <c r="Q71" s="23"/>
      <c r="R71" s="27">
        <v>44693</v>
      </c>
      <c r="S71" s="27">
        <v>45531</v>
      </c>
      <c r="T71" s="23">
        <v>50698945</v>
      </c>
      <c r="U71" s="28">
        <v>4220147745219</v>
      </c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 t="s">
        <v>41</v>
      </c>
      <c r="AN71" s="32" t="s">
        <v>58</v>
      </c>
      <c r="AO71" s="32" t="s">
        <v>58</v>
      </c>
      <c r="AP71" s="32" t="s">
        <v>58</v>
      </c>
      <c r="AQ71" s="23"/>
      <c r="AR71" s="23"/>
      <c r="AS71" s="23" t="str">
        <f t="shared" si="8"/>
        <v>Yes</v>
      </c>
      <c r="AT71" s="29" t="str">
        <f t="shared" si="6"/>
        <v>Yes</v>
      </c>
      <c r="AU71" s="30"/>
      <c r="AV71" s="31"/>
      <c r="AW71" s="31" t="s">
        <v>59</v>
      </c>
      <c r="AX71" s="2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</row>
    <row r="72" spans="1:74" x14ac:dyDescent="0.25">
      <c r="A72" s="25">
        <v>69</v>
      </c>
      <c r="B72" s="23" t="s">
        <v>292</v>
      </c>
      <c r="C72" s="23" t="s">
        <v>278</v>
      </c>
      <c r="D72" s="26" t="s">
        <v>293</v>
      </c>
      <c r="E72" s="23">
        <v>14</v>
      </c>
      <c r="F72" s="23" t="s">
        <v>108</v>
      </c>
      <c r="G72" s="23">
        <f>VLOOKUP(C72,[2]Sheet2!$T$3:$V$92,3,FALSE)</f>
        <v>10</v>
      </c>
      <c r="H72" s="23" t="s">
        <v>68</v>
      </c>
      <c r="I72" s="23" t="s">
        <v>55</v>
      </c>
      <c r="J72" s="23">
        <v>4</v>
      </c>
      <c r="K72" s="6">
        <v>0.78</v>
      </c>
      <c r="L72" s="23" t="s">
        <v>294</v>
      </c>
      <c r="M72" s="23"/>
      <c r="N72" s="23"/>
      <c r="O72" s="23" t="str">
        <f t="shared" si="5"/>
        <v/>
      </c>
      <c r="P72" s="23"/>
      <c r="Q72" s="23"/>
      <c r="R72" s="27">
        <v>44695</v>
      </c>
      <c r="S72" s="27">
        <v>44695</v>
      </c>
      <c r="T72" s="23">
        <v>50699234</v>
      </c>
      <c r="U72" s="28">
        <v>4230108917496</v>
      </c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 t="s">
        <v>41</v>
      </c>
      <c r="AN72" s="23" t="s">
        <v>58</v>
      </c>
      <c r="AO72" s="23" t="s">
        <v>58</v>
      </c>
      <c r="AP72" s="23" t="s">
        <v>58</v>
      </c>
      <c r="AQ72" s="23"/>
      <c r="AR72" s="23"/>
      <c r="AS72" s="23" t="str">
        <f t="shared" si="8"/>
        <v>Yes</v>
      </c>
      <c r="AT72" s="29" t="str">
        <f t="shared" si="6"/>
        <v>Yes</v>
      </c>
      <c r="AU72" s="30"/>
      <c r="AV72" s="31"/>
      <c r="AW72" s="31" t="s">
        <v>59</v>
      </c>
      <c r="AX72" s="2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</row>
    <row r="73" spans="1:74" x14ac:dyDescent="0.25">
      <c r="A73" s="25">
        <v>70</v>
      </c>
      <c r="B73" s="23" t="s">
        <v>295</v>
      </c>
      <c r="C73" s="23" t="s">
        <v>278</v>
      </c>
      <c r="D73" s="26" t="s">
        <v>296</v>
      </c>
      <c r="E73" s="23">
        <v>13</v>
      </c>
      <c r="F73" s="23" t="s">
        <v>131</v>
      </c>
      <c r="G73" s="23">
        <f>VLOOKUP(C73,[2]Sheet2!$T$3:$V$92,3,FALSE)</f>
        <v>10</v>
      </c>
      <c r="H73" s="23" t="s">
        <v>68</v>
      </c>
      <c r="I73" s="23" t="s">
        <v>55</v>
      </c>
      <c r="J73" s="23">
        <v>1</v>
      </c>
      <c r="K73" s="6">
        <v>0.73</v>
      </c>
      <c r="L73" s="23" t="s">
        <v>297</v>
      </c>
      <c r="M73" s="23"/>
      <c r="N73" s="23"/>
      <c r="O73" s="23" t="str">
        <f t="shared" si="5"/>
        <v/>
      </c>
      <c r="P73" s="23"/>
      <c r="Q73" s="23"/>
      <c r="R73" s="27">
        <v>44693</v>
      </c>
      <c r="S73" s="27">
        <v>45561</v>
      </c>
      <c r="T73" s="23">
        <v>50703989</v>
      </c>
      <c r="U73" s="28">
        <v>4310578606803</v>
      </c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 t="s">
        <v>41</v>
      </c>
      <c r="AN73" s="32" t="s">
        <v>58</v>
      </c>
      <c r="AO73" s="32" t="s">
        <v>58</v>
      </c>
      <c r="AP73" s="32" t="s">
        <v>58</v>
      </c>
      <c r="AQ73" s="23"/>
      <c r="AR73" s="23"/>
      <c r="AS73" s="23" t="str">
        <f>IF(AND(AN73="Yes", AO73="Yes"), "Yes", IF(AND(AN73="", AO73=""), "No", "Incomplete"))</f>
        <v>Yes</v>
      </c>
      <c r="AT73" s="29" t="str">
        <f t="shared" si="6"/>
        <v>Yes</v>
      </c>
      <c r="AU73" s="30"/>
      <c r="AV73" s="31"/>
      <c r="AW73" s="31" t="s">
        <v>59</v>
      </c>
      <c r="AX73" s="2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</row>
    <row r="74" spans="1:74" x14ac:dyDescent="0.25">
      <c r="A74" s="25">
        <v>71</v>
      </c>
      <c r="B74" s="23" t="s">
        <v>298</v>
      </c>
      <c r="C74" s="23" t="s">
        <v>278</v>
      </c>
      <c r="D74" s="41" t="s">
        <v>299</v>
      </c>
      <c r="E74" s="23">
        <v>13</v>
      </c>
      <c r="F74" s="23" t="s">
        <v>131</v>
      </c>
      <c r="G74" s="23">
        <f>VLOOKUP(C74,[2]Sheet2!$T$3:$V$92,3,FALSE)</f>
        <v>10</v>
      </c>
      <c r="H74" s="23" t="s">
        <v>68</v>
      </c>
      <c r="I74" s="23" t="s">
        <v>55</v>
      </c>
      <c r="J74" s="23"/>
      <c r="K74" s="6">
        <v>0</v>
      </c>
      <c r="L74" s="23"/>
      <c r="M74" s="23"/>
      <c r="N74" s="23"/>
      <c r="O74" s="23" t="str">
        <f t="shared" si="5"/>
        <v/>
      </c>
      <c r="P74" s="23"/>
      <c r="Q74" s="23"/>
      <c r="R74" s="27">
        <v>45959</v>
      </c>
      <c r="S74" s="27">
        <v>45959</v>
      </c>
      <c r="T74" s="23"/>
      <c r="U74" s="28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 t="s">
        <v>40</v>
      </c>
      <c r="AN74" s="32" t="s">
        <v>58</v>
      </c>
      <c r="AO74" s="32" t="s">
        <v>58</v>
      </c>
      <c r="AP74" s="23"/>
      <c r="AQ74" s="23"/>
      <c r="AR74" s="23"/>
      <c r="AS74" s="23" t="str">
        <f>IF(AND(AN74="Yes", AO74="Yes"), "Yes", IF(AND(AN74="", AO74=""), "No", "Incomplete"))</f>
        <v>Yes</v>
      </c>
      <c r="AT74" s="29" t="str">
        <f t="shared" si="6"/>
        <v>Yes</v>
      </c>
      <c r="AU74" s="30"/>
      <c r="AV74" s="31"/>
      <c r="AW74" s="31"/>
      <c r="AX74" s="2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</row>
    <row r="75" spans="1:74" x14ac:dyDescent="0.25">
      <c r="A75" s="25">
        <v>124</v>
      </c>
      <c r="B75" s="23" t="s">
        <v>300</v>
      </c>
      <c r="C75" s="23" t="s">
        <v>278</v>
      </c>
      <c r="D75" s="41" t="s">
        <v>301</v>
      </c>
      <c r="E75" s="23">
        <v>11</v>
      </c>
      <c r="F75" s="23" t="s">
        <v>138</v>
      </c>
      <c r="G75" s="23">
        <f>VLOOKUP(C75,[2]Sheet2!$T$3:$V$92,3,FALSE)</f>
        <v>10</v>
      </c>
      <c r="H75" s="23" t="s">
        <v>68</v>
      </c>
      <c r="I75" s="23" t="s">
        <v>55</v>
      </c>
      <c r="J75" s="23"/>
      <c r="K75" s="6">
        <v>0</v>
      </c>
      <c r="L75" s="23"/>
      <c r="M75" s="23" t="s">
        <v>302</v>
      </c>
      <c r="N75" s="23"/>
      <c r="O75" s="23" t="str">
        <f t="shared" si="5"/>
        <v/>
      </c>
      <c r="P75" s="23"/>
      <c r="Q75" s="23"/>
      <c r="R75" s="27">
        <v>45978</v>
      </c>
      <c r="S75" s="27">
        <v>45978</v>
      </c>
      <c r="T75" s="23"/>
      <c r="U75" s="28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 t="s">
        <v>40</v>
      </c>
      <c r="AN75" s="32" t="s">
        <v>58</v>
      </c>
      <c r="AO75" s="32" t="s">
        <v>58</v>
      </c>
      <c r="AP75" s="23"/>
      <c r="AQ75" s="23"/>
      <c r="AR75" s="23"/>
      <c r="AS75" s="23" t="str">
        <f>IF(AND(AN75="Yes"), "Yes", IF(AND(AN75=""), "No", "Incomplete"))</f>
        <v>Yes</v>
      </c>
      <c r="AT75" s="29" t="str">
        <f t="shared" si="6"/>
        <v>Yes</v>
      </c>
      <c r="AU75" s="30"/>
      <c r="AV75" s="31"/>
      <c r="AW75" s="31"/>
      <c r="AX75" s="2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</row>
    <row r="76" spans="1:74" x14ac:dyDescent="0.25">
      <c r="A76" s="25">
        <v>73</v>
      </c>
      <c r="B76" s="23" t="s">
        <v>303</v>
      </c>
      <c r="C76" s="23" t="s">
        <v>278</v>
      </c>
      <c r="D76" s="26" t="s">
        <v>304</v>
      </c>
      <c r="E76" s="23">
        <v>4</v>
      </c>
      <c r="F76" s="23" t="s">
        <v>71</v>
      </c>
      <c r="G76" s="23">
        <f>VLOOKUP(C76,[2]Sheet2!$T$3:$V$92,3,FALSE)</f>
        <v>10</v>
      </c>
      <c r="H76" s="23" t="s">
        <v>68</v>
      </c>
      <c r="I76" s="23" t="s">
        <v>55</v>
      </c>
      <c r="J76" s="23">
        <v>2</v>
      </c>
      <c r="K76" s="6">
        <v>0.5</v>
      </c>
      <c r="L76" s="23" t="s">
        <v>305</v>
      </c>
      <c r="M76" s="23"/>
      <c r="N76" s="23"/>
      <c r="O76" s="23" t="str">
        <f t="shared" si="5"/>
        <v/>
      </c>
      <c r="P76" s="23"/>
      <c r="Q76" s="23"/>
      <c r="R76" s="27">
        <v>44697</v>
      </c>
      <c r="S76" s="27">
        <v>44697</v>
      </c>
      <c r="T76" s="23">
        <v>50699293</v>
      </c>
      <c r="U76" s="28">
        <v>4210174854965</v>
      </c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 t="s">
        <v>40</v>
      </c>
      <c r="AN76" s="32" t="s">
        <v>58</v>
      </c>
      <c r="AO76" s="39" t="s">
        <v>58</v>
      </c>
      <c r="AP76" s="23"/>
      <c r="AQ76" s="23"/>
      <c r="AR76" s="23"/>
      <c r="AS76" s="23" t="str">
        <f>IF(AND(AN76="Yes"), "Yes", IF(AND(AN76=""), "No", "Incomplete"))</f>
        <v>Yes</v>
      </c>
      <c r="AT76" s="29" t="str">
        <f t="shared" si="6"/>
        <v>Yes</v>
      </c>
      <c r="AU76" s="30"/>
      <c r="AV76" s="31"/>
      <c r="AW76" s="31"/>
      <c r="AX76" s="2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</row>
    <row r="77" spans="1:74" x14ac:dyDescent="0.25">
      <c r="A77" s="25">
        <v>140</v>
      </c>
      <c r="B77" s="23" t="s">
        <v>306</v>
      </c>
      <c r="C77" s="23" t="s">
        <v>278</v>
      </c>
      <c r="D77" s="26" t="s">
        <v>66</v>
      </c>
      <c r="E77" s="23">
        <v>2</v>
      </c>
      <c r="F77" s="23" t="s">
        <v>71</v>
      </c>
      <c r="G77" s="23">
        <f>VLOOKUP(C77,[2]Sheet2!$T$3:$V$92,3,FALSE)</f>
        <v>10</v>
      </c>
      <c r="H77" s="23" t="s">
        <v>68</v>
      </c>
      <c r="I77" s="23" t="s">
        <v>55</v>
      </c>
      <c r="J77" s="23"/>
      <c r="L77" s="23"/>
      <c r="M77" s="23"/>
      <c r="N77" s="23"/>
      <c r="O77" s="23" t="e">
        <f>IF(DATEVALUE(MID(N77,15,10))-DATEVALUE(LEFT(N77,10))+1&gt;=365,"1 Year",
DATEDIF(DATEVALUE(LEFT(N77,10)),DATEVALUE(MID(N77,15,10)),"Y")&amp;" Years, "&amp;DATEDIF(DATEVALUE(LEFT(N77,10)),DATEVALUE(MID(N77,15,10)),"YM")&amp;" Months, "&amp;DATEDIF(DATEVALUE(LEFT(N77,10)),DATEVALUE(MID(N77,15,10)),"MD")&amp;" Days")</f>
        <v>#VALUE!</v>
      </c>
      <c r="P77" s="23"/>
      <c r="Q77" s="23"/>
      <c r="R77" s="27"/>
      <c r="S77" s="27"/>
      <c r="T77" s="23"/>
      <c r="U77" s="28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 t="s">
        <v>66</v>
      </c>
      <c r="AN77" s="23"/>
      <c r="AO77" s="23"/>
      <c r="AP77" s="23"/>
      <c r="AQ77" s="23"/>
      <c r="AR77" s="23"/>
      <c r="AS77" s="23" t="str">
        <f>IF(AND(AN77="Yes"), "Yes", IF(AND(AN77=""), "No", "Incomplete"))</f>
        <v>No</v>
      </c>
      <c r="AT77" s="29" t="str">
        <f t="shared" si="6"/>
        <v>Vacant</v>
      </c>
      <c r="AU77" s="30"/>
      <c r="AV77" s="31"/>
      <c r="AW77" s="31"/>
      <c r="AX77" s="2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</row>
    <row r="78" spans="1:74" x14ac:dyDescent="0.25">
      <c r="A78" s="25">
        <v>75</v>
      </c>
      <c r="B78" s="23" t="s">
        <v>307</v>
      </c>
      <c r="C78" s="23" t="s">
        <v>308</v>
      </c>
      <c r="D78" s="26" t="s">
        <v>66</v>
      </c>
      <c r="E78" s="23">
        <v>18</v>
      </c>
      <c r="F78" s="23" t="s">
        <v>309</v>
      </c>
      <c r="G78" s="23">
        <f>VLOOKUP(C78,[2]Sheet2!$T$3:$V$92,3,FALSE)</f>
        <v>11</v>
      </c>
      <c r="H78" s="23" t="s">
        <v>54</v>
      </c>
      <c r="I78" s="23" t="s">
        <v>55</v>
      </c>
      <c r="J78" s="23"/>
      <c r="L78" s="23"/>
      <c r="M78" s="23"/>
      <c r="N78" s="23"/>
      <c r="O78" s="23" t="str">
        <f t="shared" ref="O78:O119" si="9">IF(ISNUMBER(SEARCH("to", N78)),
_xlfn.LET(
    _xlpm.text_n3, N78,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78" s="23"/>
      <c r="Q78" s="23"/>
      <c r="R78" s="27"/>
      <c r="S78" s="27"/>
      <c r="T78" s="23"/>
      <c r="U78" s="28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 t="s">
        <v>66</v>
      </c>
      <c r="AN78" s="23"/>
      <c r="AO78" s="23"/>
      <c r="AP78" s="23"/>
      <c r="AQ78" s="23"/>
      <c r="AR78" s="23"/>
      <c r="AS78" s="23" t="str">
        <f>IF(AND(AN78="Yes", AO78="Yes", AP78="Yes"), "Yes", IF(AND(AN78="", AO78="", AP78=""), "No", "Incomplete"))</f>
        <v>No</v>
      </c>
      <c r="AT78" s="29" t="str">
        <f t="shared" si="6"/>
        <v>Vacant</v>
      </c>
      <c r="AU78" s="30"/>
      <c r="AV78" s="31"/>
      <c r="AW78" s="31"/>
      <c r="AX78" s="2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</row>
    <row r="79" spans="1:74" ht="27" x14ac:dyDescent="0.25">
      <c r="A79" s="25">
        <v>76</v>
      </c>
      <c r="B79" s="23" t="s">
        <v>310</v>
      </c>
      <c r="C79" s="23" t="s">
        <v>308</v>
      </c>
      <c r="D79" s="26" t="s">
        <v>66</v>
      </c>
      <c r="E79" s="23">
        <v>14</v>
      </c>
      <c r="F79" s="23" t="s">
        <v>311</v>
      </c>
      <c r="G79" s="23">
        <f>VLOOKUP(C79,[2]Sheet2!$T$3:$V$92,3,FALSE)</f>
        <v>11</v>
      </c>
      <c r="H79" s="23" t="s">
        <v>68</v>
      </c>
      <c r="I79" s="23" t="s">
        <v>55</v>
      </c>
      <c r="J79" s="23" t="e">
        <v>#N/A</v>
      </c>
      <c r="K79" s="6" t="e">
        <v>#N/A</v>
      </c>
      <c r="L79" s="23" t="e">
        <v>#N/A</v>
      </c>
      <c r="M79" s="23"/>
      <c r="N79" s="23"/>
      <c r="O79" s="23" t="str">
        <f t="shared" si="9"/>
        <v/>
      </c>
      <c r="P79" s="23"/>
      <c r="Q79" s="23"/>
      <c r="R79" s="27"/>
      <c r="S79" s="27"/>
      <c r="T79" s="23"/>
      <c r="U79" s="28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 t="s">
        <v>66</v>
      </c>
      <c r="AN79" s="23"/>
      <c r="AO79" s="23"/>
      <c r="AP79" s="23"/>
      <c r="AQ79" s="23"/>
      <c r="AR79" s="23"/>
      <c r="AS79" s="23" t="str">
        <f>IF(AND(AN79="Yes", AO79="Yes", AP79="Yes"), "Yes", IF(AND(AN79="", AO79="", AP79=""), "No", "Incomplete"))</f>
        <v>No</v>
      </c>
      <c r="AT79" s="29" t="str">
        <f t="shared" si="6"/>
        <v>Vacant</v>
      </c>
      <c r="AU79" s="30"/>
      <c r="AV79" s="31"/>
      <c r="AW79" s="31"/>
      <c r="AX79" s="2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</row>
    <row r="80" spans="1:74" x14ac:dyDescent="0.25">
      <c r="A80" s="25">
        <v>77</v>
      </c>
      <c r="B80" s="23" t="s">
        <v>312</v>
      </c>
      <c r="C80" s="23" t="s">
        <v>308</v>
      </c>
      <c r="D80" s="26" t="s">
        <v>313</v>
      </c>
      <c r="E80" s="23">
        <v>13</v>
      </c>
      <c r="F80" s="23" t="s">
        <v>131</v>
      </c>
      <c r="G80" s="23">
        <f>VLOOKUP(C80,[2]Sheet2!$T$3:$V$92,3,FALSE)</f>
        <v>11</v>
      </c>
      <c r="H80" s="23" t="s">
        <v>68</v>
      </c>
      <c r="I80" s="23" t="s">
        <v>55</v>
      </c>
      <c r="J80" s="23"/>
      <c r="K80" s="6">
        <v>0</v>
      </c>
      <c r="L80" s="23"/>
      <c r="M80" s="23"/>
      <c r="N80" s="23"/>
      <c r="O80" s="23" t="str">
        <f t="shared" si="9"/>
        <v/>
      </c>
      <c r="P80" s="23"/>
      <c r="Q80" s="23"/>
      <c r="R80" s="27">
        <v>41806</v>
      </c>
      <c r="S80" s="27">
        <v>45866</v>
      </c>
      <c r="T80" s="23">
        <v>10677497</v>
      </c>
      <c r="U80" s="28">
        <v>4130391401029</v>
      </c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 t="s">
        <v>41</v>
      </c>
      <c r="AN80" s="32" t="s">
        <v>58</v>
      </c>
      <c r="AO80" s="32" t="s">
        <v>58</v>
      </c>
      <c r="AP80" s="32" t="s">
        <v>58</v>
      </c>
      <c r="AQ80" s="23"/>
      <c r="AR80" s="23"/>
      <c r="AS80" s="23" t="str">
        <f>IF(AND(AN80="Yes", AO80="Yes"), "Yes", IF(AND(AN80="", AO80=""), "No", "Incomplete"))</f>
        <v>Yes</v>
      </c>
      <c r="AT80" s="29" t="str">
        <f t="shared" si="6"/>
        <v>Yes</v>
      </c>
      <c r="AU80" s="30"/>
      <c r="AV80" s="31"/>
      <c r="AW80" s="31" t="s">
        <v>59</v>
      </c>
      <c r="AX80" s="2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</row>
    <row r="81" spans="1:74" x14ac:dyDescent="0.25">
      <c r="A81" s="25">
        <v>78</v>
      </c>
      <c r="B81" s="23" t="s">
        <v>314</v>
      </c>
      <c r="C81" s="23" t="s">
        <v>308</v>
      </c>
      <c r="D81" s="26" t="s">
        <v>315</v>
      </c>
      <c r="E81" s="23">
        <v>4</v>
      </c>
      <c r="F81" s="23" t="s">
        <v>316</v>
      </c>
      <c r="G81" s="23">
        <f>VLOOKUP(C81,[2]Sheet2!$T$3:$V$92,3,FALSE)</f>
        <v>11</v>
      </c>
      <c r="H81" s="23" t="s">
        <v>68</v>
      </c>
      <c r="I81" s="23" t="s">
        <v>55</v>
      </c>
      <c r="J81" s="23"/>
      <c r="K81" s="6">
        <v>0</v>
      </c>
      <c r="L81" s="23"/>
      <c r="M81" s="23"/>
      <c r="N81" s="23"/>
      <c r="O81" s="23" t="str">
        <f t="shared" si="9"/>
        <v/>
      </c>
      <c r="P81" s="23"/>
      <c r="Q81" s="23"/>
      <c r="R81" s="27"/>
      <c r="S81" s="27"/>
      <c r="T81" s="23">
        <v>50197377</v>
      </c>
      <c r="U81" s="28">
        <v>4210119306991</v>
      </c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 t="s">
        <v>40</v>
      </c>
      <c r="AN81" s="32" t="s">
        <v>58</v>
      </c>
      <c r="AO81" s="32" t="s">
        <v>58</v>
      </c>
      <c r="AP81" s="23"/>
      <c r="AQ81" s="23"/>
      <c r="AR81" s="23"/>
      <c r="AS81" s="23" t="str">
        <f>IF(AND(AN81="Yes"), "Yes", IF(AND(AN81=""), "No", "Incomplete"))</f>
        <v>Yes</v>
      </c>
      <c r="AT81" s="29" t="str">
        <f t="shared" si="6"/>
        <v>Yes</v>
      </c>
      <c r="AU81" s="30"/>
      <c r="AV81" s="31" t="s">
        <v>64</v>
      </c>
      <c r="AW81" s="31"/>
      <c r="AX81" s="2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</row>
    <row r="82" spans="1:74" x14ac:dyDescent="0.25">
      <c r="A82" s="25">
        <v>79</v>
      </c>
      <c r="B82" s="23" t="s">
        <v>317</v>
      </c>
      <c r="C82" s="23" t="s">
        <v>318</v>
      </c>
      <c r="D82" s="45" t="s">
        <v>319</v>
      </c>
      <c r="E82" s="23">
        <v>18</v>
      </c>
      <c r="F82" s="23" t="s">
        <v>320</v>
      </c>
      <c r="G82" s="23">
        <f>VLOOKUP(C82,[2]Sheet2!$T$3:$V$92,3,FALSE)</f>
        <v>12</v>
      </c>
      <c r="H82" s="23" t="s">
        <v>54</v>
      </c>
      <c r="I82" s="23" t="s">
        <v>55</v>
      </c>
      <c r="J82" s="23"/>
      <c r="L82" s="23"/>
      <c r="M82" s="23"/>
      <c r="N82" s="23"/>
      <c r="O82" s="23" t="str">
        <f t="shared" si="9"/>
        <v/>
      </c>
      <c r="P82" s="23"/>
      <c r="Q82" s="23"/>
      <c r="R82" s="27"/>
      <c r="S82" s="27"/>
      <c r="T82" s="23">
        <v>10121022</v>
      </c>
      <c r="U82" s="28">
        <v>4220153298789</v>
      </c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 t="s">
        <v>73</v>
      </c>
      <c r="AN82" s="23"/>
      <c r="AO82" s="23"/>
      <c r="AP82" s="23"/>
      <c r="AQ82" s="23"/>
      <c r="AR82" s="23"/>
      <c r="AS82" s="23" t="str">
        <f t="shared" ref="AS82:AS87" si="10">IF(AND(AN82="Yes", AO82="Yes", AP82="Yes"), "Yes", IF(AND(AN82="", AO82="", AP82=""), "No", "Incomplete"))</f>
        <v>No</v>
      </c>
      <c r="AT82" s="29" t="str">
        <f t="shared" si="6"/>
        <v>NA</v>
      </c>
      <c r="AU82" s="30"/>
      <c r="AV82" s="31"/>
      <c r="AW82" s="31" t="s">
        <v>59</v>
      </c>
      <c r="AX82" s="2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</row>
    <row r="83" spans="1:74" x14ac:dyDescent="0.25">
      <c r="A83" s="25">
        <v>80</v>
      </c>
      <c r="B83" s="23" t="s">
        <v>321</v>
      </c>
      <c r="C83" s="23" t="s">
        <v>318</v>
      </c>
      <c r="D83" s="26" t="s">
        <v>66</v>
      </c>
      <c r="E83" s="23">
        <v>17</v>
      </c>
      <c r="F83" s="23" t="s">
        <v>322</v>
      </c>
      <c r="G83" s="23">
        <f>VLOOKUP(C83,[2]Sheet2!$T$3:$V$92,3,FALSE)</f>
        <v>12</v>
      </c>
      <c r="H83" s="23" t="s">
        <v>54</v>
      </c>
      <c r="I83" s="23" t="s">
        <v>55</v>
      </c>
      <c r="J83" s="23"/>
      <c r="L83" s="23"/>
      <c r="M83" s="23"/>
      <c r="N83" s="23"/>
      <c r="O83" s="23" t="str">
        <f t="shared" si="9"/>
        <v/>
      </c>
      <c r="P83" s="23"/>
      <c r="Q83" s="23"/>
      <c r="R83" s="27"/>
      <c r="S83" s="27"/>
      <c r="T83" s="23"/>
      <c r="U83" s="28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 t="s">
        <v>66</v>
      </c>
      <c r="AN83" s="23"/>
      <c r="AO83" s="23"/>
      <c r="AP83" s="23"/>
      <c r="AQ83" s="23"/>
      <c r="AR83" s="23"/>
      <c r="AS83" s="23" t="str">
        <f t="shared" si="10"/>
        <v>No</v>
      </c>
      <c r="AT83" s="29" t="str">
        <f t="shared" si="6"/>
        <v>Vacant</v>
      </c>
      <c r="AU83" s="30"/>
      <c r="AV83" s="31"/>
      <c r="AW83" s="31"/>
      <c r="AX83" s="2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</row>
    <row r="84" spans="1:74" ht="24.75" customHeight="1" x14ac:dyDescent="0.25">
      <c r="A84" s="25">
        <v>81</v>
      </c>
      <c r="B84" s="23" t="s">
        <v>323</v>
      </c>
      <c r="C84" s="23" t="s">
        <v>318</v>
      </c>
      <c r="D84" s="26" t="s">
        <v>66</v>
      </c>
      <c r="E84" s="23">
        <v>17</v>
      </c>
      <c r="F84" s="23" t="s">
        <v>324</v>
      </c>
      <c r="G84" s="23">
        <f>VLOOKUP(C84,[2]Sheet2!$T$3:$V$92,3,FALSE)</f>
        <v>12</v>
      </c>
      <c r="H84" s="23" t="s">
        <v>54</v>
      </c>
      <c r="I84" s="23" t="s">
        <v>55</v>
      </c>
      <c r="J84" s="23"/>
      <c r="L84" s="23"/>
      <c r="M84" s="23"/>
      <c r="N84" s="23"/>
      <c r="O84" s="23" t="str">
        <f t="shared" si="9"/>
        <v/>
      </c>
      <c r="P84" s="23"/>
      <c r="Q84" s="23"/>
      <c r="R84" s="27"/>
      <c r="S84" s="27"/>
      <c r="T84" s="23"/>
      <c r="U84" s="28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 t="s">
        <v>66</v>
      </c>
      <c r="AN84" s="23"/>
      <c r="AO84" s="23"/>
      <c r="AP84" s="23"/>
      <c r="AQ84" s="23"/>
      <c r="AR84" s="23"/>
      <c r="AS84" s="23" t="str">
        <f t="shared" si="10"/>
        <v>No</v>
      </c>
      <c r="AT84" s="29" t="str">
        <f t="shared" si="6"/>
        <v>Vacant</v>
      </c>
      <c r="AU84" s="30"/>
      <c r="AV84" s="31"/>
      <c r="AW84" s="31"/>
      <c r="AX84" s="2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</row>
    <row r="85" spans="1:74" x14ac:dyDescent="0.25">
      <c r="A85" s="25">
        <v>83</v>
      </c>
      <c r="B85" s="23" t="s">
        <v>325</v>
      </c>
      <c r="C85" s="23" t="s">
        <v>318</v>
      </c>
      <c r="D85" s="26" t="s">
        <v>326</v>
      </c>
      <c r="E85" s="23">
        <v>16</v>
      </c>
      <c r="F85" s="23" t="s">
        <v>67</v>
      </c>
      <c r="G85" s="23">
        <f>VLOOKUP(C85,[2]Sheet2!$T$3:$V$92,3,FALSE)</f>
        <v>12</v>
      </c>
      <c r="H85" s="23" t="s">
        <v>68</v>
      </c>
      <c r="I85" s="23" t="s">
        <v>55</v>
      </c>
      <c r="J85" s="23">
        <v>4</v>
      </c>
      <c r="K85" s="6">
        <v>0.77</v>
      </c>
      <c r="L85" s="23" t="s">
        <v>327</v>
      </c>
      <c r="M85" s="23"/>
      <c r="N85" s="23"/>
      <c r="O85" s="23" t="str">
        <f t="shared" si="9"/>
        <v/>
      </c>
      <c r="P85" s="23"/>
      <c r="Q85" s="23"/>
      <c r="R85" s="27">
        <v>41449</v>
      </c>
      <c r="S85" s="27">
        <v>44379</v>
      </c>
      <c r="T85" s="23">
        <v>50185877</v>
      </c>
      <c r="U85" s="28">
        <v>4200045106799</v>
      </c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 t="s">
        <v>40</v>
      </c>
      <c r="AN85" s="32" t="s">
        <v>58</v>
      </c>
      <c r="AO85" s="32" t="s">
        <v>58</v>
      </c>
      <c r="AP85" s="23"/>
      <c r="AQ85" s="23"/>
      <c r="AR85" s="23"/>
      <c r="AS85" s="23" t="str">
        <f t="shared" si="10"/>
        <v>Incomplete</v>
      </c>
      <c r="AT85" s="29" t="str">
        <f t="shared" si="6"/>
        <v>Yes</v>
      </c>
      <c r="AU85" s="30"/>
      <c r="AV85" s="31"/>
      <c r="AW85" s="31" t="s">
        <v>59</v>
      </c>
      <c r="AX85" s="2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</row>
    <row r="86" spans="1:74" ht="28.5" x14ac:dyDescent="0.25">
      <c r="A86" s="25">
        <v>84</v>
      </c>
      <c r="B86" s="23" t="s">
        <v>328</v>
      </c>
      <c r="C86" s="23" t="s">
        <v>318</v>
      </c>
      <c r="D86" s="26" t="s">
        <v>329</v>
      </c>
      <c r="E86" s="23">
        <v>15</v>
      </c>
      <c r="F86" s="23" t="s">
        <v>108</v>
      </c>
      <c r="G86" s="23">
        <f>VLOOKUP(C86,[2]Sheet2!$T$3:$V$92,3,FALSE)</f>
        <v>12</v>
      </c>
      <c r="H86" s="23" t="s">
        <v>68</v>
      </c>
      <c r="I86" s="23" t="s">
        <v>55</v>
      </c>
      <c r="J86" s="23">
        <v>2</v>
      </c>
      <c r="K86" s="6">
        <v>0.75</v>
      </c>
      <c r="L86" s="23" t="s">
        <v>330</v>
      </c>
      <c r="M86" s="23"/>
      <c r="N86" s="23"/>
      <c r="O86" s="23" t="str">
        <f t="shared" si="9"/>
        <v/>
      </c>
      <c r="P86" s="23"/>
      <c r="Q86" s="23"/>
      <c r="R86" s="27">
        <v>41611</v>
      </c>
      <c r="S86" s="27">
        <v>45124</v>
      </c>
      <c r="T86" s="23">
        <v>50191998</v>
      </c>
      <c r="U86" s="28">
        <v>4240107677379</v>
      </c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 t="s">
        <v>42</v>
      </c>
      <c r="AN86" s="23" t="s">
        <v>58</v>
      </c>
      <c r="AO86" s="23" t="s">
        <v>58</v>
      </c>
      <c r="AP86" s="23" t="s">
        <v>331</v>
      </c>
      <c r="AQ86" s="32" t="s">
        <v>58</v>
      </c>
      <c r="AR86" s="23"/>
      <c r="AS86" s="23" t="str">
        <f t="shared" si="10"/>
        <v>Incomplete</v>
      </c>
      <c r="AT86" s="29" t="str">
        <f t="shared" si="6"/>
        <v>Yes</v>
      </c>
      <c r="AU86" s="30"/>
      <c r="AV86" s="31"/>
      <c r="AW86" s="31"/>
      <c r="AX86" s="2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</row>
    <row r="87" spans="1:74" x14ac:dyDescent="0.25">
      <c r="A87" s="25">
        <v>85</v>
      </c>
      <c r="B87" s="23" t="s">
        <v>332</v>
      </c>
      <c r="C87" s="23" t="s">
        <v>318</v>
      </c>
      <c r="D87" s="26" t="s">
        <v>333</v>
      </c>
      <c r="E87" s="23">
        <v>15</v>
      </c>
      <c r="F87" s="23" t="s">
        <v>67</v>
      </c>
      <c r="G87" s="23">
        <f>VLOOKUP(C87,[2]Sheet2!$T$3:$V$92,3,FALSE)</f>
        <v>12</v>
      </c>
      <c r="H87" s="23" t="s">
        <v>68</v>
      </c>
      <c r="I87" s="23" t="s">
        <v>55</v>
      </c>
      <c r="J87" s="23"/>
      <c r="K87" s="6">
        <v>0</v>
      </c>
      <c r="L87" s="23"/>
      <c r="M87" s="23"/>
      <c r="N87" s="23"/>
      <c r="O87" s="23" t="str">
        <f t="shared" si="9"/>
        <v/>
      </c>
      <c r="P87" s="23"/>
      <c r="Q87" s="23"/>
      <c r="R87" s="27">
        <v>45029</v>
      </c>
      <c r="S87" s="27">
        <v>45736</v>
      </c>
      <c r="T87" s="23"/>
      <c r="U87" s="28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 t="s">
        <v>41</v>
      </c>
      <c r="AN87" s="23"/>
      <c r="AO87" s="23"/>
      <c r="AP87" s="32" t="s">
        <v>58</v>
      </c>
      <c r="AQ87" s="23"/>
      <c r="AR87" s="23"/>
      <c r="AS87" s="23" t="str">
        <f t="shared" si="10"/>
        <v>Incomplete</v>
      </c>
      <c r="AT87" s="29" t="str">
        <f t="shared" si="6"/>
        <v>Yes</v>
      </c>
      <c r="AU87" s="30"/>
      <c r="AV87" s="31"/>
      <c r="AW87" s="31" t="s">
        <v>59</v>
      </c>
      <c r="AX87" s="2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</row>
    <row r="88" spans="1:74" x14ac:dyDescent="0.25">
      <c r="A88" s="25">
        <v>86</v>
      </c>
      <c r="B88" s="23" t="s">
        <v>334</v>
      </c>
      <c r="C88" s="23" t="s">
        <v>318</v>
      </c>
      <c r="D88" s="26" t="s">
        <v>335</v>
      </c>
      <c r="E88" s="23">
        <v>13</v>
      </c>
      <c r="F88" s="23" t="s">
        <v>131</v>
      </c>
      <c r="G88" s="23">
        <f>VLOOKUP(C88,[2]Sheet2!$T$3:$V$92,3,FALSE)</f>
        <v>12</v>
      </c>
      <c r="H88" s="23" t="s">
        <v>68</v>
      </c>
      <c r="I88" s="23" t="s">
        <v>55</v>
      </c>
      <c r="J88" s="23">
        <v>2</v>
      </c>
      <c r="K88" s="6">
        <v>0.77</v>
      </c>
      <c r="L88" s="23" t="s">
        <v>336</v>
      </c>
      <c r="M88" s="23" t="s">
        <v>182</v>
      </c>
      <c r="N88" s="23"/>
      <c r="O88" s="23" t="str">
        <f t="shared" si="9"/>
        <v/>
      </c>
      <c r="P88" s="23"/>
      <c r="Q88" s="23"/>
      <c r="R88" s="27">
        <v>41365</v>
      </c>
      <c r="S88" s="27">
        <v>42950</v>
      </c>
      <c r="T88" s="23">
        <v>50174028</v>
      </c>
      <c r="U88" s="28">
        <v>4230122686957</v>
      </c>
      <c r="V88" s="46">
        <v>32867</v>
      </c>
      <c r="W88" s="23" t="s">
        <v>337</v>
      </c>
      <c r="X88" s="23" t="s">
        <v>338</v>
      </c>
      <c r="Y88" s="23" t="s">
        <v>182</v>
      </c>
      <c r="Z88" s="46">
        <v>41365</v>
      </c>
      <c r="AA88" s="46">
        <v>41365</v>
      </c>
      <c r="AB88" s="23" t="s">
        <v>339</v>
      </c>
      <c r="AC88" s="23" t="s">
        <v>189</v>
      </c>
      <c r="AD88" s="23" t="s">
        <v>340</v>
      </c>
      <c r="AE88" s="23">
        <v>3422661007</v>
      </c>
      <c r="AF88" s="23"/>
      <c r="AG88" s="23"/>
      <c r="AH88" s="23" t="s">
        <v>58</v>
      </c>
      <c r="AI88" s="23" t="s">
        <v>341</v>
      </c>
      <c r="AJ88" s="23" t="s">
        <v>339</v>
      </c>
      <c r="AK88" s="23"/>
      <c r="AL88" s="23"/>
      <c r="AM88" s="23" t="s">
        <v>42</v>
      </c>
      <c r="AN88" s="23" t="s">
        <v>58</v>
      </c>
      <c r="AO88" s="23" t="s">
        <v>58</v>
      </c>
      <c r="AP88" s="32" t="s">
        <v>58</v>
      </c>
      <c r="AQ88" s="32" t="s">
        <v>58</v>
      </c>
      <c r="AR88" s="23"/>
      <c r="AS88" s="23" t="str">
        <f>IF(AND(AN88="Yes", AO88="Yes"), "Yes", IF(AND(AN88="", AO88=""), "No", "Incomplete"))</f>
        <v>Yes</v>
      </c>
      <c r="AT88" s="29" t="str">
        <f t="shared" si="6"/>
        <v>Yes</v>
      </c>
      <c r="AU88" s="30"/>
      <c r="AV88" s="31" t="s">
        <v>64</v>
      </c>
      <c r="AW88" s="31" t="s">
        <v>59</v>
      </c>
      <c r="AX88" s="2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</row>
    <row r="89" spans="1:74" x14ac:dyDescent="0.25">
      <c r="A89" s="25">
        <v>82</v>
      </c>
      <c r="B89" s="23" t="s">
        <v>342</v>
      </c>
      <c r="C89" s="23" t="s">
        <v>318</v>
      </c>
      <c r="D89" s="26" t="s">
        <v>343</v>
      </c>
      <c r="E89" s="23">
        <v>11</v>
      </c>
      <c r="F89" s="23" t="s">
        <v>138</v>
      </c>
      <c r="G89" s="23">
        <f>VLOOKUP(C89,[2]Sheet2!$T$3:$V$92,3,FALSE)</f>
        <v>12</v>
      </c>
      <c r="H89" s="23" t="s">
        <v>68</v>
      </c>
      <c r="I89" s="23" t="s">
        <v>55</v>
      </c>
      <c r="J89" s="23">
        <v>4</v>
      </c>
      <c r="K89" s="6">
        <v>0.7</v>
      </c>
      <c r="L89" s="23" t="s">
        <v>344</v>
      </c>
      <c r="M89" s="23"/>
      <c r="N89" s="23"/>
      <c r="O89" s="23" t="str">
        <f t="shared" si="9"/>
        <v/>
      </c>
      <c r="P89" s="23"/>
      <c r="Q89" s="23"/>
      <c r="R89" s="27">
        <v>45124</v>
      </c>
      <c r="S89" s="27">
        <v>45124</v>
      </c>
      <c r="T89" s="23">
        <v>50750193</v>
      </c>
      <c r="U89" s="28">
        <v>4530395137872</v>
      </c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 t="s">
        <v>41</v>
      </c>
      <c r="AN89" s="32" t="s">
        <v>58</v>
      </c>
      <c r="AO89" s="32" t="s">
        <v>58</v>
      </c>
      <c r="AP89" s="32" t="s">
        <v>58</v>
      </c>
      <c r="AQ89" s="23"/>
      <c r="AR89" s="23"/>
      <c r="AS89" s="23" t="str">
        <f>IF(AND(AN89="Yes"), "Yes", IF(AND(AN89=""), "No", "Incomplete"))</f>
        <v>Yes</v>
      </c>
      <c r="AT89" s="29" t="str">
        <f t="shared" si="6"/>
        <v>Yes</v>
      </c>
      <c r="AU89" s="30"/>
      <c r="AV89" s="31"/>
      <c r="AW89" s="31" t="s">
        <v>59</v>
      </c>
      <c r="AX89" s="2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</row>
    <row r="90" spans="1:74" x14ac:dyDescent="0.25">
      <c r="A90" s="25">
        <v>87</v>
      </c>
      <c r="B90" s="23" t="s">
        <v>345</v>
      </c>
      <c r="C90" s="23" t="s">
        <v>318</v>
      </c>
      <c r="D90" s="26" t="s">
        <v>346</v>
      </c>
      <c r="E90" s="23">
        <v>4</v>
      </c>
      <c r="F90" s="23" t="s">
        <v>71</v>
      </c>
      <c r="G90" s="23">
        <f>VLOOKUP(C90,[2]Sheet2!$T$3:$V$92,3,FALSE)</f>
        <v>12</v>
      </c>
      <c r="H90" s="23" t="s">
        <v>68</v>
      </c>
      <c r="I90" s="23" t="s">
        <v>55</v>
      </c>
      <c r="J90" s="23">
        <v>2</v>
      </c>
      <c r="K90" s="6">
        <v>0.65</v>
      </c>
      <c r="L90" s="23" t="s">
        <v>347</v>
      </c>
      <c r="M90" s="23"/>
      <c r="N90" s="23"/>
      <c r="O90" s="23" t="str">
        <f t="shared" si="9"/>
        <v/>
      </c>
      <c r="P90" s="23"/>
      <c r="Q90" s="23"/>
      <c r="R90" s="27">
        <v>41281</v>
      </c>
      <c r="S90" s="27">
        <v>41281</v>
      </c>
      <c r="T90" s="23">
        <v>50173167</v>
      </c>
      <c r="U90" s="28">
        <v>4240162157291</v>
      </c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 t="s">
        <v>73</v>
      </c>
      <c r="AN90" s="23"/>
      <c r="AO90" s="23"/>
      <c r="AP90" s="23"/>
      <c r="AQ90" s="23"/>
      <c r="AR90" s="23"/>
      <c r="AS90" s="23" t="str">
        <f>IF(AND(AN90="Yes"), "Yes", IF(AND(AN90=""), "No", "Incomplete"))</f>
        <v>No</v>
      </c>
      <c r="AT90" s="29" t="str">
        <f>IF(AM90="Matric",IF(AN90="Yes","Yes",IF(AN90="Under Process", "Under Process","No")),IF(AM90="Inter",IF(AO90="Yes","Yes",IF(AO90="Under Process", "Under Process","No")),IF(AM90="Bachelor",IF(AP90="Yes","Yes",IF(AP90="Under Process", "Under Process","No")),IF(AM90="Master",IF(AQ90="Yes","Yes",IF(AQ90="Under Process", "Under Process","No")),IF(AM90="Vacant",IF(D452="Yes","No","Vacant"),IF(AM90="NA",IF(D452="Yes","No","NA"),"No"))))))</f>
        <v>NA</v>
      </c>
      <c r="AU90" s="30"/>
      <c r="AV90" s="31"/>
      <c r="AW90" s="31" t="s">
        <v>59</v>
      </c>
      <c r="AX90" s="2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</row>
    <row r="91" spans="1:74" x14ac:dyDescent="0.25">
      <c r="A91" s="25">
        <v>88</v>
      </c>
      <c r="B91" s="23" t="s">
        <v>348</v>
      </c>
      <c r="C91" s="23" t="s">
        <v>349</v>
      </c>
      <c r="D91" s="26" t="s">
        <v>350</v>
      </c>
      <c r="E91" s="23">
        <v>17</v>
      </c>
      <c r="F91" s="23" t="s">
        <v>351</v>
      </c>
      <c r="G91" s="23">
        <f>VLOOKUP(C91,[2]Sheet2!$T$3:$V$92,3,FALSE)</f>
        <v>13</v>
      </c>
      <c r="H91" s="23" t="s">
        <v>54</v>
      </c>
      <c r="I91" s="23" t="s">
        <v>55</v>
      </c>
      <c r="J91" s="23"/>
      <c r="L91" s="23"/>
      <c r="M91" s="23"/>
      <c r="N91" s="23" t="s">
        <v>81</v>
      </c>
      <c r="O91" s="23" t="e">
        <f t="shared" ca="1" si="9"/>
        <v>#NAME?</v>
      </c>
      <c r="P91" s="23"/>
      <c r="Q91" s="23" t="s">
        <v>57</v>
      </c>
      <c r="R91" s="27"/>
      <c r="S91" s="27"/>
      <c r="T91" s="23">
        <v>50315754</v>
      </c>
      <c r="U91" s="28">
        <v>4130371364905</v>
      </c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 t="s">
        <v>41</v>
      </c>
      <c r="AN91" s="23" t="s">
        <v>58</v>
      </c>
      <c r="AO91" s="23" t="s">
        <v>58</v>
      </c>
      <c r="AP91" s="23" t="s">
        <v>58</v>
      </c>
      <c r="AQ91" s="23"/>
      <c r="AR91" s="23"/>
      <c r="AS91" s="23" t="str">
        <f>IF(AND(AN91="Yes", AO91="Yes", AP91="Yes"), "Yes", IF(AND(AN91="", AO91="", AP91=""), "No", "Incomplete"))</f>
        <v>Yes</v>
      </c>
      <c r="AT91" s="29" t="str">
        <f t="shared" ref="AT91:AT104" si="11">IF(AM91="Matric",IF(AN91="Yes","Yes",IF(AN91="Under Process", "Under Process","No")),IF(AM91="Inter",IF(AO91="Yes","Yes",IF(AO91="Under Process", "Under Process","No")),IF(AM91="Bachelor",IF(AP91="Yes","Yes",IF(AP91="Under Process", "Under Process","No")),IF(AM91="Master",IF(AQ91="Yes","Yes",IF(AQ91="Under Process", "Under Process","No")),IF(AM91="Vacant",IF(D99="Yes","No","Vacant"),IF(AM91="NA",IF(D99="Yes","No","NA"),"No"))))))</f>
        <v>Yes</v>
      </c>
      <c r="AU91" s="30"/>
      <c r="AV91" s="31"/>
      <c r="AW91" s="31" t="s">
        <v>59</v>
      </c>
      <c r="AX91" s="2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</row>
    <row r="92" spans="1:74" x14ac:dyDescent="0.25">
      <c r="A92" s="25">
        <v>89</v>
      </c>
      <c r="B92" s="23" t="s">
        <v>352</v>
      </c>
      <c r="C92" s="23" t="s">
        <v>349</v>
      </c>
      <c r="D92" s="26" t="s">
        <v>353</v>
      </c>
      <c r="E92" s="23">
        <v>14</v>
      </c>
      <c r="F92" s="23" t="s">
        <v>108</v>
      </c>
      <c r="G92" s="23">
        <f>VLOOKUP(C92,[2]Sheet2!$T$3:$V$92,3,FALSE)</f>
        <v>13</v>
      </c>
      <c r="H92" s="23" t="s">
        <v>68</v>
      </c>
      <c r="I92" s="23" t="s">
        <v>55</v>
      </c>
      <c r="J92" s="23">
        <v>3</v>
      </c>
      <c r="K92" s="6">
        <v>0.73</v>
      </c>
      <c r="L92" s="23" t="s">
        <v>354</v>
      </c>
      <c r="M92" s="23"/>
      <c r="N92" s="23"/>
      <c r="O92" s="23" t="str">
        <f t="shared" si="9"/>
        <v/>
      </c>
      <c r="P92" s="23"/>
      <c r="Q92" s="23"/>
      <c r="R92" s="27">
        <v>45470</v>
      </c>
      <c r="S92" s="27">
        <v>45470</v>
      </c>
      <c r="T92" s="23">
        <v>50784757</v>
      </c>
      <c r="U92" s="28">
        <v>4320328048295</v>
      </c>
      <c r="V92" s="23"/>
      <c r="W92" s="23" t="s">
        <v>212</v>
      </c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 t="s">
        <v>41</v>
      </c>
      <c r="AN92" s="32" t="s">
        <v>58</v>
      </c>
      <c r="AO92" s="32" t="s">
        <v>58</v>
      </c>
      <c r="AP92" s="32" t="s">
        <v>58</v>
      </c>
      <c r="AQ92" s="23"/>
      <c r="AR92" s="23"/>
      <c r="AS92" s="23" t="str">
        <f>IF(AND(AN92="Yes", AO92="Yes", AP92="Yes"), "Yes", IF(AND(AN92="", AO92="", AP92=""), "No", "Incomplete"))</f>
        <v>Yes</v>
      </c>
      <c r="AT92" s="29" t="str">
        <f t="shared" si="11"/>
        <v>Yes</v>
      </c>
      <c r="AU92" s="30"/>
      <c r="AV92" s="31"/>
      <c r="AW92" s="31" t="s">
        <v>59</v>
      </c>
      <c r="AX92" s="2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</row>
    <row r="93" spans="1:74" x14ac:dyDescent="0.25">
      <c r="A93" s="25">
        <v>90</v>
      </c>
      <c r="B93" s="23" t="s">
        <v>355</v>
      </c>
      <c r="C93" s="23" t="s">
        <v>349</v>
      </c>
      <c r="D93" s="26" t="s">
        <v>356</v>
      </c>
      <c r="E93" s="23">
        <v>2</v>
      </c>
      <c r="F93" s="23" t="s">
        <v>71</v>
      </c>
      <c r="G93" s="23">
        <f>VLOOKUP(C93,[2]Sheet2!$T$3:$V$92,3,FALSE)</f>
        <v>13</v>
      </c>
      <c r="H93" s="23" t="s">
        <v>68</v>
      </c>
      <c r="I93" s="23" t="s">
        <v>55</v>
      </c>
      <c r="J93" s="23">
        <v>2</v>
      </c>
      <c r="K93" s="6">
        <v>0.63</v>
      </c>
      <c r="L93" s="23" t="s">
        <v>357</v>
      </c>
      <c r="M93" s="23"/>
      <c r="N93" s="23"/>
      <c r="O93" s="23" t="str">
        <f t="shared" si="9"/>
        <v/>
      </c>
      <c r="P93" s="23"/>
      <c r="Q93" s="23"/>
      <c r="R93" s="27">
        <v>45103</v>
      </c>
      <c r="S93" s="27">
        <v>45677</v>
      </c>
      <c r="T93" s="23">
        <v>50745649</v>
      </c>
      <c r="U93" s="28">
        <v>4230140190471</v>
      </c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 t="s">
        <v>40</v>
      </c>
      <c r="AN93" s="23"/>
      <c r="AO93" s="39" t="s">
        <v>58</v>
      </c>
      <c r="AP93" s="23"/>
      <c r="AQ93" s="23"/>
      <c r="AR93" s="23"/>
      <c r="AS93" s="23" t="str">
        <f>IF(AND(AN93="Yes"), "Yes", IF(AND(AN93=""), "No", "Incomplete"))</f>
        <v>No</v>
      </c>
      <c r="AT93" s="29" t="str">
        <f t="shared" si="11"/>
        <v>Yes</v>
      </c>
      <c r="AU93" s="30"/>
      <c r="AV93" s="31" t="s">
        <v>64</v>
      </c>
      <c r="AW93" s="31"/>
      <c r="AX93" s="2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</row>
    <row r="94" spans="1:74" x14ac:dyDescent="0.25">
      <c r="A94" s="25">
        <v>91</v>
      </c>
      <c r="B94" s="23" t="s">
        <v>358</v>
      </c>
      <c r="C94" s="23" t="s">
        <v>359</v>
      </c>
      <c r="D94" s="26" t="s">
        <v>66</v>
      </c>
      <c r="E94" s="23">
        <v>14</v>
      </c>
      <c r="F94" s="23" t="s">
        <v>360</v>
      </c>
      <c r="G94" s="23">
        <f>VLOOKUP(C94,[2]Sheet2!$T$3:$V$92,3,FALSE)</f>
        <v>14</v>
      </c>
      <c r="H94" s="23" t="s">
        <v>68</v>
      </c>
      <c r="I94" s="23" t="s">
        <v>55</v>
      </c>
      <c r="J94" s="23" t="e">
        <v>#N/A</v>
      </c>
      <c r="K94" s="6" t="e">
        <v>#N/A</v>
      </c>
      <c r="L94" s="23" t="e">
        <v>#N/A</v>
      </c>
      <c r="M94" s="23"/>
      <c r="N94" s="23"/>
      <c r="O94" s="23" t="str">
        <f t="shared" si="9"/>
        <v/>
      </c>
      <c r="P94" s="23"/>
      <c r="Q94" s="23"/>
      <c r="R94" s="27"/>
      <c r="S94" s="27"/>
      <c r="T94" s="23"/>
      <c r="U94" s="28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 t="s">
        <v>66</v>
      </c>
      <c r="AN94" s="23"/>
      <c r="AO94" s="23"/>
      <c r="AP94" s="23"/>
      <c r="AQ94" s="23"/>
      <c r="AR94" s="23"/>
      <c r="AS94" s="23" t="str">
        <f>IF(AND(AN94="Yes", AO94="Yes", AP94="Yes"), "Yes", IF(AND(AN94="", AO94="", AP94=""), "No", "Incomplete"))</f>
        <v>No</v>
      </c>
      <c r="AT94" s="29" t="str">
        <f t="shared" si="11"/>
        <v>Vacant</v>
      </c>
      <c r="AU94" s="30"/>
      <c r="AV94" s="31"/>
      <c r="AW94" s="31"/>
      <c r="AX94" s="2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</row>
    <row r="95" spans="1:74" x14ac:dyDescent="0.25">
      <c r="A95" s="25">
        <v>92</v>
      </c>
      <c r="B95" s="23" t="s">
        <v>361</v>
      </c>
      <c r="C95" s="23" t="s">
        <v>359</v>
      </c>
      <c r="D95" s="26" t="s">
        <v>66</v>
      </c>
      <c r="E95" s="23">
        <v>14</v>
      </c>
      <c r="F95" s="23" t="s">
        <v>362</v>
      </c>
      <c r="G95" s="23">
        <f>VLOOKUP(C95,[2]Sheet2!$T$3:$V$92,3,FALSE)</f>
        <v>14</v>
      </c>
      <c r="H95" s="23" t="s">
        <v>68</v>
      </c>
      <c r="I95" s="23" t="s">
        <v>55</v>
      </c>
      <c r="J95" s="23" t="e">
        <v>#N/A</v>
      </c>
      <c r="K95" s="6" t="e">
        <v>#N/A</v>
      </c>
      <c r="L95" s="23" t="e">
        <v>#N/A</v>
      </c>
      <c r="M95" s="23"/>
      <c r="N95" s="23"/>
      <c r="O95" s="23" t="str">
        <f t="shared" si="9"/>
        <v/>
      </c>
      <c r="P95" s="23"/>
      <c r="Q95" s="23"/>
      <c r="R95" s="27"/>
      <c r="S95" s="27"/>
      <c r="T95" s="23"/>
      <c r="U95" s="28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 t="s">
        <v>66</v>
      </c>
      <c r="AN95" s="23"/>
      <c r="AO95" s="23"/>
      <c r="AP95" s="23"/>
      <c r="AQ95" s="23"/>
      <c r="AR95" s="23"/>
      <c r="AS95" s="23" t="str">
        <f>IF(AND(AN95="Yes", AO95="Yes", AP95="Yes"), "Yes", IF(AND(AN95="", AO95="", AP95=""), "No", "Incomplete"))</f>
        <v>No</v>
      </c>
      <c r="AT95" s="29" t="str">
        <f t="shared" si="11"/>
        <v>Vacant</v>
      </c>
      <c r="AU95" s="30"/>
      <c r="AV95" s="31"/>
      <c r="AW95" s="31"/>
      <c r="AX95" s="2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</row>
    <row r="96" spans="1:74" x14ac:dyDescent="0.25">
      <c r="A96" s="25">
        <v>117</v>
      </c>
      <c r="B96" s="23" t="s">
        <v>363</v>
      </c>
      <c r="C96" s="23" t="s">
        <v>359</v>
      </c>
      <c r="D96" s="26" t="s">
        <v>364</v>
      </c>
      <c r="E96" s="23">
        <v>11</v>
      </c>
      <c r="F96" s="23" t="s">
        <v>138</v>
      </c>
      <c r="G96" s="23">
        <f>VLOOKUP(C96,[2]Sheet2!$T$3:$V$92,3,FALSE)</f>
        <v>14</v>
      </c>
      <c r="H96" s="23" t="s">
        <v>68</v>
      </c>
      <c r="I96" s="23" t="s">
        <v>55</v>
      </c>
      <c r="J96" s="23">
        <v>3</v>
      </c>
      <c r="K96" s="6">
        <v>0.74</v>
      </c>
      <c r="L96" s="23" t="s">
        <v>365</v>
      </c>
      <c r="M96" s="23"/>
      <c r="N96" s="23"/>
      <c r="O96" s="23" t="str">
        <f t="shared" si="9"/>
        <v/>
      </c>
      <c r="P96" s="23"/>
      <c r="Q96" s="23"/>
      <c r="R96" s="27">
        <v>41433</v>
      </c>
      <c r="S96" s="27">
        <v>41433</v>
      </c>
      <c r="T96" s="23">
        <v>50220240</v>
      </c>
      <c r="U96" s="28">
        <v>4210177434811</v>
      </c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 t="s">
        <v>39</v>
      </c>
      <c r="AN96" s="32" t="s">
        <v>58</v>
      </c>
      <c r="AO96" s="32" t="s">
        <v>58</v>
      </c>
      <c r="AP96" s="23"/>
      <c r="AQ96" s="23"/>
      <c r="AR96" s="23"/>
      <c r="AS96" s="23" t="str">
        <f>IF(AND(AN96="Yes"), "Yes", IF(AND(AN96=""), "No", "Incomplete"))</f>
        <v>Yes</v>
      </c>
      <c r="AT96" s="29" t="str">
        <f t="shared" si="11"/>
        <v>Yes</v>
      </c>
      <c r="AU96" s="30"/>
      <c r="AV96" s="31" t="s">
        <v>64</v>
      </c>
      <c r="AW96" s="31"/>
      <c r="AX96" s="2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</row>
    <row r="97" spans="1:74" ht="27" x14ac:dyDescent="0.25">
      <c r="A97" s="25">
        <v>94</v>
      </c>
      <c r="B97" s="23" t="s">
        <v>366</v>
      </c>
      <c r="C97" s="23" t="s">
        <v>359</v>
      </c>
      <c r="D97" s="26" t="s">
        <v>367</v>
      </c>
      <c r="E97" s="23">
        <v>2</v>
      </c>
      <c r="F97" s="23" t="s">
        <v>71</v>
      </c>
      <c r="G97" s="23">
        <f>VLOOKUP(C97,[2]Sheet2!$T$3:$V$92,3,FALSE)</f>
        <v>14</v>
      </c>
      <c r="H97" s="23" t="s">
        <v>68</v>
      </c>
      <c r="I97" s="23" t="s">
        <v>55</v>
      </c>
      <c r="J97" s="23"/>
      <c r="K97" s="6">
        <v>0</v>
      </c>
      <c r="L97" s="23"/>
      <c r="M97" s="23"/>
      <c r="N97" s="23"/>
      <c r="O97" s="23" t="str">
        <f t="shared" si="9"/>
        <v/>
      </c>
      <c r="P97" s="23"/>
      <c r="Q97" s="23"/>
      <c r="R97" s="27">
        <v>45866</v>
      </c>
      <c r="S97" s="27">
        <v>45866</v>
      </c>
      <c r="T97" s="23">
        <v>50699530</v>
      </c>
      <c r="U97" s="28">
        <v>4210153019391</v>
      </c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 t="s">
        <v>39</v>
      </c>
      <c r="AN97" s="32" t="s">
        <v>58</v>
      </c>
      <c r="AO97" s="23"/>
      <c r="AP97" s="23"/>
      <c r="AQ97" s="23"/>
      <c r="AR97" s="23"/>
      <c r="AS97" s="23" t="str">
        <f t="shared" ref="AS97:AS106" si="12">IF(AND(AN97="Yes", AO97="Yes", AP97="Yes"), "Yes", IF(AND(AN97="", AO97="", AP97=""), "No", "Incomplete"))</f>
        <v>Incomplete</v>
      </c>
      <c r="AT97" s="29" t="str">
        <f t="shared" si="11"/>
        <v>Yes</v>
      </c>
      <c r="AU97" s="30"/>
      <c r="AV97" s="31"/>
      <c r="AW97" s="31"/>
      <c r="AX97" s="2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</row>
    <row r="98" spans="1:74" ht="42.75" x14ac:dyDescent="0.25">
      <c r="A98" s="25">
        <v>217</v>
      </c>
      <c r="B98" s="23" t="s">
        <v>368</v>
      </c>
      <c r="C98" s="23" t="s">
        <v>369</v>
      </c>
      <c r="D98" s="47" t="s">
        <v>370</v>
      </c>
      <c r="E98" s="2">
        <v>19</v>
      </c>
      <c r="F98" s="2" t="s">
        <v>371</v>
      </c>
      <c r="G98" s="23">
        <f>VLOOKUP(C98,[2]Sheet2!$T$3:$V$92,3,FALSE)</f>
        <v>15</v>
      </c>
      <c r="H98" s="23" t="s">
        <v>54</v>
      </c>
      <c r="I98" s="23" t="s">
        <v>55</v>
      </c>
      <c r="J98" s="2"/>
      <c r="L98" s="2"/>
      <c r="M98" s="2"/>
      <c r="N98" s="2" t="s">
        <v>372</v>
      </c>
      <c r="O98" s="23" t="e">
        <f t="shared" ca="1" si="9"/>
        <v>#NAME?</v>
      </c>
      <c r="P98" s="2"/>
      <c r="Q98" s="2" t="s">
        <v>373</v>
      </c>
      <c r="R98" s="7"/>
      <c r="S98" s="7"/>
      <c r="T98" s="2">
        <v>10417507</v>
      </c>
      <c r="U98" s="9">
        <v>6110157824759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s">
        <v>42</v>
      </c>
      <c r="AN98" s="2"/>
      <c r="AO98" s="2"/>
      <c r="AP98" s="2"/>
      <c r="AQ98" s="2" t="s">
        <v>58</v>
      </c>
      <c r="AR98" s="2"/>
      <c r="AS98" s="2" t="str">
        <f t="shared" si="12"/>
        <v>No</v>
      </c>
      <c r="AT98" s="48" t="str">
        <f t="shared" si="11"/>
        <v>Yes</v>
      </c>
      <c r="AU98" s="48"/>
      <c r="AV98" s="2"/>
      <c r="AW98" s="2" t="s">
        <v>59</v>
      </c>
      <c r="AX98" s="2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</row>
    <row r="99" spans="1:74" x14ac:dyDescent="0.25">
      <c r="A99" s="25">
        <v>536</v>
      </c>
      <c r="B99" s="23" t="s">
        <v>374</v>
      </c>
      <c r="C99" s="23" t="s">
        <v>369</v>
      </c>
      <c r="D99" s="26" t="s">
        <v>375</v>
      </c>
      <c r="E99" s="23">
        <v>15</v>
      </c>
      <c r="F99" s="23" t="s">
        <v>108</v>
      </c>
      <c r="G99" s="23">
        <f>VLOOKUP(C99,[2]Sheet2!$T$3:$V$92,3,FALSE)</f>
        <v>15</v>
      </c>
      <c r="H99" s="23" t="s">
        <v>68</v>
      </c>
      <c r="I99" s="23" t="s">
        <v>55</v>
      </c>
      <c r="J99" s="23"/>
      <c r="K99" s="6">
        <v>0.75</v>
      </c>
      <c r="L99" s="23" t="s">
        <v>376</v>
      </c>
      <c r="M99" s="23"/>
      <c r="N99" s="23"/>
      <c r="O99" s="23" t="str">
        <f t="shared" si="9"/>
        <v/>
      </c>
      <c r="P99" s="23"/>
      <c r="Q99" s="23"/>
      <c r="R99" s="27"/>
      <c r="S99" s="27"/>
      <c r="T99" s="23">
        <v>50170783</v>
      </c>
      <c r="U99" s="28">
        <v>4410332558535</v>
      </c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 t="s">
        <v>42</v>
      </c>
      <c r="AN99" s="23"/>
      <c r="AO99" s="23"/>
      <c r="AP99" s="23"/>
      <c r="AQ99" s="23" t="s">
        <v>58</v>
      </c>
      <c r="AR99" s="23"/>
      <c r="AS99" s="23" t="str">
        <f t="shared" si="12"/>
        <v>No</v>
      </c>
      <c r="AT99" s="29" t="str">
        <f t="shared" si="11"/>
        <v>Yes</v>
      </c>
      <c r="AU99" s="30"/>
      <c r="AV99" s="31"/>
      <c r="AW99" s="31"/>
      <c r="AX99" s="2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</row>
    <row r="100" spans="1:74" x14ac:dyDescent="0.25">
      <c r="A100" s="25">
        <v>14</v>
      </c>
      <c r="B100" s="23" t="s">
        <v>377</v>
      </c>
      <c r="C100" s="23" t="s">
        <v>369</v>
      </c>
      <c r="D100" s="26" t="s">
        <v>154</v>
      </c>
      <c r="E100" s="23">
        <v>2</v>
      </c>
      <c r="F100" s="23" t="s">
        <v>71</v>
      </c>
      <c r="G100" s="23">
        <f>VLOOKUP(C100,[2]Sheet2!$T$3:$V$92,3,FALSE)</f>
        <v>15</v>
      </c>
      <c r="H100" s="23" t="s">
        <v>68</v>
      </c>
      <c r="I100" s="23" t="s">
        <v>55</v>
      </c>
      <c r="J100" s="23">
        <v>3</v>
      </c>
      <c r="K100" s="6">
        <v>0.65</v>
      </c>
      <c r="L100" s="23" t="s">
        <v>378</v>
      </c>
      <c r="M100" s="23"/>
      <c r="N100" s="23"/>
      <c r="O100" s="23" t="str">
        <f t="shared" si="9"/>
        <v/>
      </c>
      <c r="P100" s="23"/>
      <c r="Q100" s="23"/>
      <c r="R100" s="27">
        <v>35188</v>
      </c>
      <c r="S100" s="27">
        <v>45313</v>
      </c>
      <c r="T100" s="23">
        <v>10112405</v>
      </c>
      <c r="U100" s="28">
        <v>4210188530127</v>
      </c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 t="s">
        <v>73</v>
      </c>
      <c r="AN100" s="23"/>
      <c r="AO100" s="23"/>
      <c r="AP100" s="23"/>
      <c r="AQ100" s="23"/>
      <c r="AR100" s="23"/>
      <c r="AS100" s="23" t="str">
        <f t="shared" si="12"/>
        <v>No</v>
      </c>
      <c r="AT100" s="29" t="str">
        <f t="shared" si="11"/>
        <v>NA</v>
      </c>
      <c r="AU100" s="30"/>
      <c r="AV100" s="31"/>
      <c r="AW100" s="31"/>
      <c r="AX100" s="2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</row>
    <row r="101" spans="1:74" x14ac:dyDescent="0.25">
      <c r="A101" s="25">
        <v>98</v>
      </c>
      <c r="B101" s="23" t="s">
        <v>379</v>
      </c>
      <c r="C101" s="23" t="s">
        <v>380</v>
      </c>
      <c r="D101" s="45" t="s">
        <v>381</v>
      </c>
      <c r="E101" s="23">
        <v>18</v>
      </c>
      <c r="F101" s="23" t="s">
        <v>382</v>
      </c>
      <c r="G101" s="23">
        <f>VLOOKUP(C101,[2]Sheet2!$T$3:$V$92,3,FALSE)</f>
        <v>16</v>
      </c>
      <c r="H101" s="23" t="s">
        <v>54</v>
      </c>
      <c r="I101" s="23" t="s">
        <v>55</v>
      </c>
      <c r="J101" s="23"/>
      <c r="L101" s="23"/>
      <c r="M101" s="23"/>
      <c r="N101" s="23" t="s">
        <v>56</v>
      </c>
      <c r="O101" s="23" t="e">
        <f t="shared" ca="1" si="9"/>
        <v>#NAME?</v>
      </c>
      <c r="P101" s="23"/>
      <c r="Q101" s="23" t="s">
        <v>57</v>
      </c>
      <c r="R101" s="27"/>
      <c r="S101" s="27"/>
      <c r="T101" s="23">
        <v>10474034</v>
      </c>
      <c r="U101" s="28">
        <v>4240164271503</v>
      </c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 t="s">
        <v>42</v>
      </c>
      <c r="AN101" s="23" t="s">
        <v>58</v>
      </c>
      <c r="AO101" s="23" t="s">
        <v>58</v>
      </c>
      <c r="AP101" s="23" t="s">
        <v>58</v>
      </c>
      <c r="AQ101" s="23" t="s">
        <v>58</v>
      </c>
      <c r="AR101" s="23"/>
      <c r="AS101" s="23" t="str">
        <f t="shared" si="12"/>
        <v>Yes</v>
      </c>
      <c r="AT101" s="29" t="str">
        <f t="shared" si="11"/>
        <v>Yes</v>
      </c>
      <c r="AU101" s="30"/>
      <c r="AV101" s="31"/>
      <c r="AW101" s="31" t="s">
        <v>59</v>
      </c>
      <c r="AX101" s="2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</row>
    <row r="102" spans="1:74" x14ac:dyDescent="0.25">
      <c r="A102" s="25">
        <v>99</v>
      </c>
      <c r="B102" s="23" t="s">
        <v>383</v>
      </c>
      <c r="C102" s="23" t="s">
        <v>380</v>
      </c>
      <c r="D102" s="26" t="s">
        <v>384</v>
      </c>
      <c r="E102" s="23">
        <v>17</v>
      </c>
      <c r="F102" s="23" t="s">
        <v>385</v>
      </c>
      <c r="G102" s="23">
        <f>VLOOKUP(C102,[2]Sheet2!$T$3:$V$92,3,FALSE)</f>
        <v>16</v>
      </c>
      <c r="H102" s="23" t="s">
        <v>54</v>
      </c>
      <c r="I102" s="23" t="s">
        <v>55</v>
      </c>
      <c r="J102" s="23"/>
      <c r="L102" s="23"/>
      <c r="M102" s="23"/>
      <c r="N102" s="23" t="s">
        <v>56</v>
      </c>
      <c r="O102" s="23" t="e">
        <f t="shared" ca="1" si="9"/>
        <v>#NAME?</v>
      </c>
      <c r="P102" s="23"/>
      <c r="Q102" s="23" t="s">
        <v>57</v>
      </c>
      <c r="R102" s="27"/>
      <c r="S102" s="27"/>
      <c r="T102" s="23">
        <v>10112231</v>
      </c>
      <c r="U102" s="28">
        <v>4240190699063</v>
      </c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 t="s">
        <v>41</v>
      </c>
      <c r="AN102" s="32" t="s">
        <v>58</v>
      </c>
      <c r="AO102" s="32" t="s">
        <v>58</v>
      </c>
      <c r="AP102" s="32" t="s">
        <v>58</v>
      </c>
      <c r="AQ102" s="23"/>
      <c r="AR102" s="23"/>
      <c r="AS102" s="23" t="str">
        <f t="shared" si="12"/>
        <v>Yes</v>
      </c>
      <c r="AT102" s="29" t="str">
        <f t="shared" si="11"/>
        <v>Yes</v>
      </c>
      <c r="AU102" s="30"/>
      <c r="AV102" s="31"/>
      <c r="AW102" s="31" t="s">
        <v>59</v>
      </c>
      <c r="AX102" s="2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</row>
    <row r="103" spans="1:74" x14ac:dyDescent="0.25">
      <c r="A103" s="25">
        <v>100</v>
      </c>
      <c r="B103" s="23" t="s">
        <v>386</v>
      </c>
      <c r="C103" s="23" t="s">
        <v>380</v>
      </c>
      <c r="D103" s="26" t="s">
        <v>387</v>
      </c>
      <c r="E103" s="23">
        <v>16</v>
      </c>
      <c r="F103" s="23" t="s">
        <v>388</v>
      </c>
      <c r="G103" s="23">
        <f>VLOOKUP(C103,[2]Sheet2!$T$3:$V$92,3,FALSE)</f>
        <v>16</v>
      </c>
      <c r="H103" s="23" t="s">
        <v>68</v>
      </c>
      <c r="I103" s="23" t="s">
        <v>55</v>
      </c>
      <c r="J103" s="23">
        <v>1</v>
      </c>
      <c r="K103" s="6">
        <v>0.78</v>
      </c>
      <c r="L103" s="23" t="s">
        <v>389</v>
      </c>
      <c r="M103" s="23"/>
      <c r="N103" s="23"/>
      <c r="O103" s="23" t="str">
        <f t="shared" si="9"/>
        <v/>
      </c>
      <c r="P103" s="23"/>
      <c r="Q103" s="23"/>
      <c r="R103" s="27">
        <v>34221</v>
      </c>
      <c r="S103" s="27">
        <v>34221</v>
      </c>
      <c r="T103" s="23">
        <v>10112395</v>
      </c>
      <c r="U103" s="28">
        <v>4220112498141</v>
      </c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 t="s">
        <v>41</v>
      </c>
      <c r="AN103" s="23" t="s">
        <v>58</v>
      </c>
      <c r="AO103" s="23" t="s">
        <v>58</v>
      </c>
      <c r="AP103" s="32" t="s">
        <v>58</v>
      </c>
      <c r="AQ103" s="23"/>
      <c r="AR103" s="23" t="s">
        <v>390</v>
      </c>
      <c r="AS103" s="23" t="str">
        <f t="shared" si="12"/>
        <v>Yes</v>
      </c>
      <c r="AT103" s="29" t="str">
        <f t="shared" si="11"/>
        <v>Yes</v>
      </c>
      <c r="AU103" s="30"/>
      <c r="AV103" s="31"/>
      <c r="AW103" s="31"/>
      <c r="AX103" s="2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</row>
    <row r="104" spans="1:74" x14ac:dyDescent="0.25">
      <c r="A104" s="25">
        <v>101</v>
      </c>
      <c r="B104" s="23" t="s">
        <v>391</v>
      </c>
      <c r="C104" s="23" t="s">
        <v>380</v>
      </c>
      <c r="D104" s="26" t="s">
        <v>392</v>
      </c>
      <c r="E104" s="23">
        <v>16</v>
      </c>
      <c r="F104" s="23" t="s">
        <v>67</v>
      </c>
      <c r="G104" s="23">
        <f>VLOOKUP(C104,[2]Sheet2!$T$3:$V$92,3,FALSE)</f>
        <v>16</v>
      </c>
      <c r="H104" s="23" t="s">
        <v>68</v>
      </c>
      <c r="I104" s="23" t="s">
        <v>55</v>
      </c>
      <c r="J104" s="23">
        <v>2</v>
      </c>
      <c r="K104" s="6">
        <v>0.78</v>
      </c>
      <c r="L104" s="23" t="s">
        <v>393</v>
      </c>
      <c r="M104" s="23"/>
      <c r="N104" s="23"/>
      <c r="O104" s="23" t="str">
        <f t="shared" si="9"/>
        <v/>
      </c>
      <c r="P104" s="23"/>
      <c r="Q104" s="23"/>
      <c r="R104" s="27">
        <v>44715</v>
      </c>
      <c r="S104" s="27">
        <v>44715</v>
      </c>
      <c r="T104" s="23">
        <v>50699247</v>
      </c>
      <c r="U104" s="28">
        <v>4530295100667</v>
      </c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 t="s">
        <v>41</v>
      </c>
      <c r="AN104" s="32" t="s">
        <v>58</v>
      </c>
      <c r="AO104" s="32" t="s">
        <v>58</v>
      </c>
      <c r="AP104" s="32" t="s">
        <v>58</v>
      </c>
      <c r="AQ104" s="23"/>
      <c r="AR104" s="23"/>
      <c r="AS104" s="23" t="str">
        <f t="shared" si="12"/>
        <v>Yes</v>
      </c>
      <c r="AT104" s="29" t="str">
        <f t="shared" si="11"/>
        <v>Yes</v>
      </c>
      <c r="AU104" s="30"/>
      <c r="AV104" s="31"/>
      <c r="AW104" s="31" t="s">
        <v>59</v>
      </c>
      <c r="AX104" s="2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</row>
    <row r="105" spans="1:74" x14ac:dyDescent="0.25">
      <c r="A105" s="25">
        <v>102</v>
      </c>
      <c r="B105" s="23" t="s">
        <v>394</v>
      </c>
      <c r="C105" s="23" t="s">
        <v>380</v>
      </c>
      <c r="D105" s="26" t="s">
        <v>66</v>
      </c>
      <c r="E105" s="23">
        <v>14</v>
      </c>
      <c r="F105" s="23" t="s">
        <v>395</v>
      </c>
      <c r="G105" s="23">
        <f>VLOOKUP(C105,[2]Sheet2!$T$3:$V$92,3,FALSE)</f>
        <v>16</v>
      </c>
      <c r="H105" s="23" t="s">
        <v>68</v>
      </c>
      <c r="I105" s="23" t="s">
        <v>55</v>
      </c>
      <c r="J105" s="23" t="e">
        <v>#N/A</v>
      </c>
      <c r="K105" s="6" t="e">
        <v>#N/A</v>
      </c>
      <c r="L105" s="23" t="e">
        <v>#N/A</v>
      </c>
      <c r="M105" s="23"/>
      <c r="N105" s="23"/>
      <c r="O105" s="23" t="str">
        <f t="shared" si="9"/>
        <v/>
      </c>
      <c r="P105" s="23"/>
      <c r="Q105" s="23"/>
      <c r="R105" s="27"/>
      <c r="S105" s="27"/>
      <c r="T105" s="23"/>
      <c r="U105" s="28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 t="s">
        <v>66</v>
      </c>
      <c r="AN105" s="23"/>
      <c r="AO105" s="23"/>
      <c r="AP105" s="23"/>
      <c r="AQ105" s="23"/>
      <c r="AR105" s="23"/>
      <c r="AS105" s="23" t="str">
        <f t="shared" si="12"/>
        <v>No</v>
      </c>
      <c r="AT105" s="29" t="str">
        <f>IF(AM105="Matric",IF(AN105="Yes","Yes",IF(AN105="Under Process", "Under Process","No")),IF(AM105="Inter",IF(AO105="Yes","Yes",IF(AO105="Under Process", "Under Process","No")),IF(AM105="Bachelor",IF(AP105="Yes","Yes",IF(AP105="Under Process", "Under Process","No")),IF(AM105="Master",IF(AQ105="Yes","Yes",IF(AQ105="Under Process", "Under Process","No")),IF(AM105="Vacant",IF(D678="Yes","No","Vacant"),IF(AM105="NA",IF(D678="Yes","No","NA"),"No"))))))</f>
        <v>Vacant</v>
      </c>
      <c r="AU105" s="30"/>
      <c r="AV105" s="31"/>
      <c r="AW105" s="31"/>
      <c r="AX105" s="2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</row>
    <row r="106" spans="1:74" x14ac:dyDescent="0.25">
      <c r="A106" s="25">
        <v>103</v>
      </c>
      <c r="B106" s="23" t="s">
        <v>396</v>
      </c>
      <c r="C106" s="23" t="s">
        <v>380</v>
      </c>
      <c r="D106" s="26" t="s">
        <v>134</v>
      </c>
      <c r="E106" s="23">
        <v>14</v>
      </c>
      <c r="F106" s="23" t="s">
        <v>108</v>
      </c>
      <c r="G106" s="23">
        <f>VLOOKUP(C106,[2]Sheet2!$T$3:$V$92,3,FALSE)</f>
        <v>16</v>
      </c>
      <c r="H106" s="23" t="s">
        <v>68</v>
      </c>
      <c r="I106" s="23" t="s">
        <v>55</v>
      </c>
      <c r="J106" s="23">
        <v>3</v>
      </c>
      <c r="K106" s="6">
        <v>0.67</v>
      </c>
      <c r="L106" s="23" t="s">
        <v>397</v>
      </c>
      <c r="M106" s="23"/>
      <c r="N106" s="23"/>
      <c r="O106" s="23" t="str">
        <f t="shared" si="9"/>
        <v/>
      </c>
      <c r="P106" s="23"/>
      <c r="Q106" s="23"/>
      <c r="R106" s="27">
        <v>45127</v>
      </c>
      <c r="S106" s="27">
        <v>45127</v>
      </c>
      <c r="T106" s="23">
        <v>50746062</v>
      </c>
      <c r="U106" s="28">
        <v>4320389953553</v>
      </c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 t="s">
        <v>42</v>
      </c>
      <c r="AN106" s="23" t="s">
        <v>58</v>
      </c>
      <c r="AO106" s="23" t="s">
        <v>58</v>
      </c>
      <c r="AP106" s="23" t="s">
        <v>58</v>
      </c>
      <c r="AQ106" s="32" t="s">
        <v>58</v>
      </c>
      <c r="AR106" s="23" t="s">
        <v>398</v>
      </c>
      <c r="AS106" s="23" t="str">
        <f t="shared" si="12"/>
        <v>Yes</v>
      </c>
      <c r="AT106" s="29" t="str">
        <f t="shared" ref="AT106:AT114" si="13">IF(AM106="Matric",IF(AN106="Yes","Yes",IF(AN106="Under Process", "Under Process","No")),IF(AM106="Inter",IF(AO106="Yes","Yes",IF(AO106="Under Process", "Under Process","No")),IF(AM106="Bachelor",IF(AP106="Yes","Yes",IF(AP106="Under Process", "Under Process","No")),IF(AM106="Master",IF(AQ106="Yes","Yes",IF(AQ106="Under Process", "Under Process","No")),IF(AM106="Vacant",IF(D114="Yes","No","Vacant"),IF(AM106="NA",IF(D114="Yes","No","NA"),"No"))))))</f>
        <v>Yes</v>
      </c>
      <c r="AU106" s="30"/>
      <c r="AV106" s="31"/>
      <c r="AW106" s="31"/>
      <c r="AX106" s="2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</row>
    <row r="107" spans="1:74" x14ac:dyDescent="0.25">
      <c r="A107" s="25">
        <v>112</v>
      </c>
      <c r="B107" s="23" t="s">
        <v>399</v>
      </c>
      <c r="C107" s="23" t="s">
        <v>380</v>
      </c>
      <c r="D107" s="41" t="s">
        <v>400</v>
      </c>
      <c r="E107" s="23">
        <v>13</v>
      </c>
      <c r="F107" s="23" t="s">
        <v>131</v>
      </c>
      <c r="G107" s="23">
        <f>VLOOKUP(C107,[2]Sheet2!$T$3:$V$92,3,FALSE)</f>
        <v>16</v>
      </c>
      <c r="H107" s="23" t="s">
        <v>68</v>
      </c>
      <c r="I107" s="23" t="s">
        <v>55</v>
      </c>
      <c r="J107" s="23"/>
      <c r="K107" s="6">
        <v>0</v>
      </c>
      <c r="L107" s="23"/>
      <c r="M107" s="23"/>
      <c r="N107" s="23"/>
      <c r="O107" s="23" t="str">
        <f t="shared" si="9"/>
        <v/>
      </c>
      <c r="P107" s="23"/>
      <c r="Q107" s="23"/>
      <c r="R107" s="27">
        <v>45957</v>
      </c>
      <c r="S107" s="27">
        <v>45957</v>
      </c>
      <c r="T107" s="23"/>
      <c r="U107" s="28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 t="s">
        <v>41</v>
      </c>
      <c r="AN107" s="32" t="s">
        <v>58</v>
      </c>
      <c r="AO107" s="32" t="s">
        <v>58</v>
      </c>
      <c r="AP107" s="32" t="s">
        <v>58</v>
      </c>
      <c r="AQ107" s="23"/>
      <c r="AR107" s="23"/>
      <c r="AS107" s="23" t="str">
        <f>IF(AND(AN107="Yes", AO107="Yes"), "Yes", IF(AND(AN107="", AO107=""), "No", "Incomplete"))</f>
        <v>Yes</v>
      </c>
      <c r="AT107" s="29" t="str">
        <f t="shared" si="13"/>
        <v>Yes</v>
      </c>
      <c r="AU107" s="30"/>
      <c r="AV107" s="31"/>
      <c r="AW107" s="31"/>
      <c r="AX107" s="2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</row>
    <row r="108" spans="1:74" x14ac:dyDescent="0.25">
      <c r="A108" s="25">
        <v>105</v>
      </c>
      <c r="B108" s="23" t="s">
        <v>401</v>
      </c>
      <c r="C108" s="23" t="s">
        <v>380</v>
      </c>
      <c r="D108" s="26" t="s">
        <v>402</v>
      </c>
      <c r="E108" s="23">
        <v>11</v>
      </c>
      <c r="F108" s="23" t="s">
        <v>138</v>
      </c>
      <c r="G108" s="23">
        <f>VLOOKUP(C108,[2]Sheet2!$T$3:$V$92,3,FALSE)</f>
        <v>16</v>
      </c>
      <c r="H108" s="23" t="s">
        <v>68</v>
      </c>
      <c r="I108" s="23" t="s">
        <v>55</v>
      </c>
      <c r="J108" s="23">
        <v>1</v>
      </c>
      <c r="K108" s="6">
        <v>0.78</v>
      </c>
      <c r="L108" s="23" t="s">
        <v>403</v>
      </c>
      <c r="M108" s="23"/>
      <c r="N108" s="23"/>
      <c r="O108" s="23" t="str">
        <f t="shared" si="9"/>
        <v/>
      </c>
      <c r="P108" s="23"/>
      <c r="Q108" s="23"/>
      <c r="R108" s="27">
        <v>41365</v>
      </c>
      <c r="S108" s="27">
        <v>45684</v>
      </c>
      <c r="T108" s="23">
        <v>50176597</v>
      </c>
      <c r="U108" s="28">
        <v>4420467303519</v>
      </c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 t="s">
        <v>42</v>
      </c>
      <c r="AN108" s="32" t="s">
        <v>58</v>
      </c>
      <c r="AO108" s="32" t="s">
        <v>58</v>
      </c>
      <c r="AP108" s="32" t="s">
        <v>58</v>
      </c>
      <c r="AQ108" s="32" t="s">
        <v>58</v>
      </c>
      <c r="AR108" s="23" t="s">
        <v>404</v>
      </c>
      <c r="AS108" s="23" t="str">
        <f>IF(AND(AN108="Yes"), "Yes", IF(AND(AN108=""), "No", "Incomplete"))</f>
        <v>Yes</v>
      </c>
      <c r="AT108" s="29" t="str">
        <f t="shared" si="13"/>
        <v>Yes</v>
      </c>
      <c r="AU108" s="30"/>
      <c r="AV108" s="31" t="s">
        <v>64</v>
      </c>
      <c r="AW108" s="31" t="s">
        <v>59</v>
      </c>
      <c r="AX108" s="2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</row>
    <row r="109" spans="1:74" x14ac:dyDescent="0.25">
      <c r="A109" s="25">
        <v>106</v>
      </c>
      <c r="B109" s="23" t="s">
        <v>405</v>
      </c>
      <c r="C109" s="23" t="s">
        <v>380</v>
      </c>
      <c r="D109" s="26" t="s">
        <v>406</v>
      </c>
      <c r="E109" s="23">
        <v>4</v>
      </c>
      <c r="F109" s="23" t="s">
        <v>71</v>
      </c>
      <c r="G109" s="23">
        <f>VLOOKUP(C109,[2]Sheet2!$T$3:$V$92,3,FALSE)</f>
        <v>16</v>
      </c>
      <c r="H109" s="23" t="s">
        <v>68</v>
      </c>
      <c r="I109" s="23" t="s">
        <v>55</v>
      </c>
      <c r="J109" s="23">
        <v>1</v>
      </c>
      <c r="K109" s="6">
        <v>0.56999999999999995</v>
      </c>
      <c r="L109" s="23" t="s">
        <v>407</v>
      </c>
      <c r="M109" s="23"/>
      <c r="N109" s="23"/>
      <c r="O109" s="23" t="str">
        <f t="shared" si="9"/>
        <v/>
      </c>
      <c r="P109" s="23"/>
      <c r="Q109" s="23"/>
      <c r="R109" s="27">
        <v>42079</v>
      </c>
      <c r="S109" s="27">
        <v>44630</v>
      </c>
      <c r="T109" s="23">
        <v>50231256</v>
      </c>
      <c r="U109" s="28">
        <v>4220188108711</v>
      </c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 t="s">
        <v>39</v>
      </c>
      <c r="AN109" s="23" t="s">
        <v>58</v>
      </c>
      <c r="AO109" s="23"/>
      <c r="AP109" s="23"/>
      <c r="AQ109" s="23"/>
      <c r="AR109" s="23"/>
      <c r="AS109" s="23" t="str">
        <f>IF(AND(AN109="Yes"), "Yes", IF(AND(AN109=""), "No", "Incomplete"))</f>
        <v>Yes</v>
      </c>
      <c r="AT109" s="29" t="str">
        <f t="shared" si="13"/>
        <v>Yes</v>
      </c>
      <c r="AU109" s="30"/>
      <c r="AV109" s="31" t="s">
        <v>64</v>
      </c>
      <c r="AW109" s="31" t="s">
        <v>59</v>
      </c>
      <c r="AX109" s="2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</row>
    <row r="110" spans="1:74" x14ac:dyDescent="0.25">
      <c r="A110" s="25">
        <v>107</v>
      </c>
      <c r="B110" s="23" t="s">
        <v>408</v>
      </c>
      <c r="C110" s="23" t="s">
        <v>409</v>
      </c>
      <c r="D110" s="45" t="s">
        <v>410</v>
      </c>
      <c r="E110" s="23">
        <v>18</v>
      </c>
      <c r="F110" s="23" t="s">
        <v>411</v>
      </c>
      <c r="G110" s="23">
        <f>VLOOKUP(C110,[2]Sheet2!$T$3:$V$92,3,FALSE)</f>
        <v>17</v>
      </c>
      <c r="H110" s="23" t="s">
        <v>54</v>
      </c>
      <c r="I110" s="23" t="s">
        <v>55</v>
      </c>
      <c r="J110" s="23"/>
      <c r="L110" s="23"/>
      <c r="M110" s="23"/>
      <c r="N110" s="23" t="s">
        <v>56</v>
      </c>
      <c r="O110" s="23" t="e">
        <f t="shared" ca="1" si="9"/>
        <v>#NAME?</v>
      </c>
      <c r="P110" s="23"/>
      <c r="Q110" s="23" t="s">
        <v>57</v>
      </c>
      <c r="R110" s="27"/>
      <c r="S110" s="27"/>
      <c r="T110" s="23">
        <v>20044044</v>
      </c>
      <c r="U110" s="28">
        <v>5440070013907</v>
      </c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 t="s">
        <v>42</v>
      </c>
      <c r="AN110" s="32" t="s">
        <v>58</v>
      </c>
      <c r="AO110" s="32" t="s">
        <v>58</v>
      </c>
      <c r="AP110" s="23" t="s">
        <v>412</v>
      </c>
      <c r="AQ110" s="32" t="s">
        <v>58</v>
      </c>
      <c r="AR110" s="23"/>
      <c r="AS110" s="23" t="str">
        <f>IF(AND(AN110="Yes", AO110="Yes", AP110="Yes"), "Yes", IF(AND(AN110="", AO110="", AP110=""), "No", "Incomplete"))</f>
        <v>Incomplete</v>
      </c>
      <c r="AT110" s="29" t="str">
        <f t="shared" si="13"/>
        <v>Yes</v>
      </c>
      <c r="AU110" s="30"/>
      <c r="AV110" s="31"/>
      <c r="AW110" s="31" t="s">
        <v>59</v>
      </c>
      <c r="AX110" s="2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</row>
    <row r="111" spans="1:74" x14ac:dyDescent="0.25">
      <c r="A111" s="25">
        <v>108</v>
      </c>
      <c r="B111" s="23" t="s">
        <v>413</v>
      </c>
      <c r="C111" s="23" t="s">
        <v>409</v>
      </c>
      <c r="D111" s="26" t="s">
        <v>414</v>
      </c>
      <c r="E111" s="23">
        <v>17</v>
      </c>
      <c r="F111" s="23" t="s">
        <v>415</v>
      </c>
      <c r="G111" s="23">
        <f>VLOOKUP(C111,[2]Sheet2!$T$3:$V$92,3,FALSE)</f>
        <v>17</v>
      </c>
      <c r="H111" s="23" t="s">
        <v>54</v>
      </c>
      <c r="I111" s="23" t="s">
        <v>55</v>
      </c>
      <c r="J111" s="23"/>
      <c r="L111" s="23"/>
      <c r="M111" s="23"/>
      <c r="N111" s="23" t="s">
        <v>56</v>
      </c>
      <c r="O111" s="23" t="e">
        <f t="shared" ca="1" si="9"/>
        <v>#NAME?</v>
      </c>
      <c r="P111" s="23"/>
      <c r="Q111" s="23" t="s">
        <v>57</v>
      </c>
      <c r="R111" s="27"/>
      <c r="S111" s="27"/>
      <c r="T111" s="23">
        <v>50621472</v>
      </c>
      <c r="U111" s="28">
        <v>4250130851704</v>
      </c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 t="s">
        <v>41</v>
      </c>
      <c r="AN111" s="23" t="s">
        <v>121</v>
      </c>
      <c r="AO111" s="23" t="s">
        <v>121</v>
      </c>
      <c r="AP111" s="32" t="s">
        <v>58</v>
      </c>
      <c r="AQ111" s="23"/>
      <c r="AR111" s="23"/>
      <c r="AS111" s="23" t="str">
        <f>IF(AND(AN111="Yes", AO111="Yes", AP111="Yes"), "Yes", IF(AND(AN111="", AO111="", AP111=""), "No", "Incomplete"))</f>
        <v>Incomplete</v>
      </c>
      <c r="AT111" s="29" t="str">
        <f t="shared" si="13"/>
        <v>Yes</v>
      </c>
      <c r="AU111" s="30"/>
      <c r="AV111" s="31"/>
      <c r="AW111" s="31" t="s">
        <v>59</v>
      </c>
      <c r="AX111" s="2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</row>
    <row r="112" spans="1:74" x14ac:dyDescent="0.25">
      <c r="A112" s="25">
        <v>121</v>
      </c>
      <c r="B112" s="23" t="s">
        <v>416</v>
      </c>
      <c r="C112" s="23" t="s">
        <v>409</v>
      </c>
      <c r="D112" s="26" t="s">
        <v>417</v>
      </c>
      <c r="E112" s="23">
        <v>16</v>
      </c>
      <c r="F112" s="23" t="s">
        <v>67</v>
      </c>
      <c r="G112" s="23">
        <f>VLOOKUP(C112,[2]Sheet2!$T$3:$V$92,3,FALSE)</f>
        <v>17</v>
      </c>
      <c r="H112" s="23" t="s">
        <v>68</v>
      </c>
      <c r="I112" s="23" t="s">
        <v>55</v>
      </c>
      <c r="J112" s="23">
        <v>4</v>
      </c>
      <c r="K112" s="6">
        <v>0.74</v>
      </c>
      <c r="L112" s="23" t="s">
        <v>418</v>
      </c>
      <c r="M112" s="23"/>
      <c r="N112" s="23"/>
      <c r="O112" s="23" t="str">
        <f t="shared" si="9"/>
        <v/>
      </c>
      <c r="P112" s="23"/>
      <c r="Q112" s="23"/>
      <c r="R112" s="27">
        <v>34746</v>
      </c>
      <c r="S112" s="27">
        <v>44196</v>
      </c>
      <c r="T112" s="23">
        <v>10112397</v>
      </c>
      <c r="U112" s="28">
        <v>4220103296971</v>
      </c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 t="s">
        <v>40</v>
      </c>
      <c r="AN112" s="32" t="s">
        <v>58</v>
      </c>
      <c r="AO112" s="39" t="s">
        <v>58</v>
      </c>
      <c r="AP112" s="23"/>
      <c r="AQ112" s="23"/>
      <c r="AR112" s="23"/>
      <c r="AS112" s="23" t="str">
        <f>IF(AND(AN112="Yes", AO112="Yes", AP112="Yes"), "Yes", IF(AND(AN112="", AO112="", AP112=""), "No", "Incomplete"))</f>
        <v>Incomplete</v>
      </c>
      <c r="AT112" s="29" t="str">
        <f t="shared" si="13"/>
        <v>Yes</v>
      </c>
      <c r="AU112" s="30"/>
      <c r="AV112" s="31"/>
      <c r="AW112" s="31"/>
      <c r="AX112" s="2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</row>
    <row r="113" spans="1:74" x14ac:dyDescent="0.25">
      <c r="A113" s="25">
        <v>110</v>
      </c>
      <c r="B113" s="23" t="s">
        <v>419</v>
      </c>
      <c r="C113" s="23" t="s">
        <v>409</v>
      </c>
      <c r="D113" s="47" t="s">
        <v>420</v>
      </c>
      <c r="E113" s="2">
        <v>15</v>
      </c>
      <c r="F113" s="2" t="s">
        <v>108</v>
      </c>
      <c r="G113" s="23">
        <f>VLOOKUP(C113,[2]Sheet2!$T$3:$V$92,3,FALSE)</f>
        <v>17</v>
      </c>
      <c r="H113" s="23" t="s">
        <v>68</v>
      </c>
      <c r="I113" s="23" t="s">
        <v>55</v>
      </c>
      <c r="J113" s="23">
        <v>4</v>
      </c>
      <c r="K113" s="6">
        <v>0.71</v>
      </c>
      <c r="L113" s="2" t="s">
        <v>421</v>
      </c>
      <c r="M113" s="2"/>
      <c r="N113" s="2"/>
      <c r="O113" s="23" t="str">
        <f t="shared" si="9"/>
        <v/>
      </c>
      <c r="P113" s="2"/>
      <c r="Q113" s="2"/>
      <c r="R113" s="7"/>
      <c r="S113" s="7"/>
      <c r="T113" s="2">
        <v>50189519</v>
      </c>
      <c r="U113" s="9">
        <v>4130458643301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s">
        <v>41</v>
      </c>
      <c r="AN113" s="32" t="s">
        <v>58</v>
      </c>
      <c r="AO113" s="32" t="s">
        <v>58</v>
      </c>
      <c r="AP113" s="32" t="s">
        <v>58</v>
      </c>
      <c r="AQ113" s="2"/>
      <c r="AR113" s="2"/>
      <c r="AS113" s="2" t="str">
        <f>IF(AND(AN113="Yes", AO113="Yes", AP113="Yes"), "Yes", IF(AND(AN113="", AO113="", AP113=""), "No", "Incomplete"))</f>
        <v>Yes</v>
      </c>
      <c r="AT113" s="48" t="str">
        <f t="shared" si="13"/>
        <v>Yes</v>
      </c>
      <c r="AU113" s="48"/>
      <c r="AV113" s="2"/>
      <c r="AW113" s="2"/>
      <c r="AX113" s="2" t="s">
        <v>422</v>
      </c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</row>
    <row r="114" spans="1:74" x14ac:dyDescent="0.25">
      <c r="A114" s="25">
        <v>51</v>
      </c>
      <c r="B114" s="23" t="s">
        <v>423</v>
      </c>
      <c r="C114" s="23" t="s">
        <v>409</v>
      </c>
      <c r="D114" s="41" t="s">
        <v>424</v>
      </c>
      <c r="E114" s="23">
        <v>14</v>
      </c>
      <c r="F114" s="23" t="s">
        <v>395</v>
      </c>
      <c r="G114" s="23">
        <f>VLOOKUP(C114,[2]Sheet2!$T$3:$V$92,3,FALSE)</f>
        <v>17</v>
      </c>
      <c r="H114" s="23" t="s">
        <v>68</v>
      </c>
      <c r="I114" s="23" t="s">
        <v>55</v>
      </c>
      <c r="J114" s="23"/>
      <c r="K114" s="6">
        <v>0</v>
      </c>
      <c r="L114" s="23"/>
      <c r="M114" s="23"/>
      <c r="N114" s="23"/>
      <c r="O114" s="23" t="str">
        <f t="shared" si="9"/>
        <v/>
      </c>
      <c r="P114" s="23"/>
      <c r="Q114" s="23"/>
      <c r="R114" s="27">
        <v>45957</v>
      </c>
      <c r="S114" s="27">
        <v>45957</v>
      </c>
      <c r="T114" s="23"/>
      <c r="U114" s="28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 t="s">
        <v>41</v>
      </c>
      <c r="AN114" s="32" t="s">
        <v>58</v>
      </c>
      <c r="AO114" s="32" t="s">
        <v>58</v>
      </c>
      <c r="AP114" s="32" t="s">
        <v>58</v>
      </c>
      <c r="AQ114" s="23"/>
      <c r="AR114" s="23"/>
      <c r="AS114" s="23" t="str">
        <f>IF(AND(AN114="Yes", AO114="Yes", AP114="Yes"), "Yes", IF(AND(AN114="", AO114="", AP114=""), "No", "Incomplete"))</f>
        <v>Yes</v>
      </c>
      <c r="AT114" s="29" t="str">
        <f t="shared" si="13"/>
        <v>Yes</v>
      </c>
      <c r="AU114" s="30"/>
      <c r="AV114" s="31"/>
      <c r="AW114" s="31"/>
      <c r="AX114" s="2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</row>
    <row r="115" spans="1:74" ht="28.5" x14ac:dyDescent="0.25">
      <c r="A115" s="25">
        <v>509</v>
      </c>
      <c r="B115" s="23" t="s">
        <v>425</v>
      </c>
      <c r="C115" s="23" t="s">
        <v>409</v>
      </c>
      <c r="D115" s="26" t="s">
        <v>426</v>
      </c>
      <c r="E115" s="23">
        <v>13</v>
      </c>
      <c r="F115" s="23" t="s">
        <v>131</v>
      </c>
      <c r="G115" s="23">
        <f>VLOOKUP(C115,[2]Sheet2!$T$3:$V$92,3,FALSE)</f>
        <v>17</v>
      </c>
      <c r="H115" s="23" t="s">
        <v>68</v>
      </c>
      <c r="I115" s="23" t="s">
        <v>55</v>
      </c>
      <c r="J115" s="23"/>
      <c r="K115" s="6">
        <v>0.63</v>
      </c>
      <c r="L115" s="23" t="s">
        <v>427</v>
      </c>
      <c r="M115" s="23"/>
      <c r="N115" s="23" t="s">
        <v>56</v>
      </c>
      <c r="O115" s="23" t="e">
        <f t="shared" ca="1" si="9"/>
        <v>#NAME?</v>
      </c>
      <c r="P115" s="23" t="s">
        <v>428</v>
      </c>
      <c r="Q115" s="23"/>
      <c r="R115" s="27"/>
      <c r="S115" s="27"/>
      <c r="T115" s="23">
        <v>10261713</v>
      </c>
      <c r="U115" s="28">
        <v>4120199658325</v>
      </c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 t="s">
        <v>41</v>
      </c>
      <c r="AN115" s="32" t="s">
        <v>58</v>
      </c>
      <c r="AO115" s="32" t="s">
        <v>58</v>
      </c>
      <c r="AP115" s="32" t="s">
        <v>58</v>
      </c>
      <c r="AQ115" s="23"/>
      <c r="AR115" s="23"/>
      <c r="AS115" s="23" t="str">
        <f>IF(AND(AN115="Yes", AO115="Yes"), "Yes", IF(AND(AN115="", AO115=""), "No", "Incomplete"))</f>
        <v>Yes</v>
      </c>
      <c r="AT115" s="29" t="str">
        <f>IF(AM115="Matric",IF(AN115="Yes","Yes",IF(AN115="Under Process", "Under Process","No")),IF(AM115="Inter",IF(AO115="Yes","Yes",IF(AO115="Under Process", "Under Process","No")),IF(AM115="Bachelor",IF(AP115="Yes","Yes",IF(AP115="Under Process", "Under Process","No")),IF(AM115="Master",IF(AQ115="Yes","Yes",IF(AQ115="Under Process", "Under Process","No")),IF(AM115="Vacant",IF(#REF!="Yes","No","Vacant"),IF(AM115="NA",IF(#REF!="Yes","No","NA"),"No"))))))</f>
        <v>Yes</v>
      </c>
      <c r="AU115" s="30"/>
      <c r="AV115" s="31"/>
      <c r="AW115" s="31" t="s">
        <v>59</v>
      </c>
      <c r="AX115" s="2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</row>
    <row r="116" spans="1:74" x14ac:dyDescent="0.25">
      <c r="A116" s="25">
        <v>113</v>
      </c>
      <c r="B116" s="23" t="s">
        <v>429</v>
      </c>
      <c r="C116" s="23" t="s">
        <v>409</v>
      </c>
      <c r="D116" s="26" t="s">
        <v>66</v>
      </c>
      <c r="E116" s="23">
        <v>11</v>
      </c>
      <c r="F116" s="23" t="s">
        <v>138</v>
      </c>
      <c r="G116" s="23">
        <f>VLOOKUP(C116,[2]Sheet2!$T$3:$V$92,3,FALSE)</f>
        <v>17</v>
      </c>
      <c r="H116" s="23" t="s">
        <v>68</v>
      </c>
      <c r="I116" s="23" t="s">
        <v>55</v>
      </c>
      <c r="J116" s="23"/>
      <c r="K116" s="6">
        <v>0</v>
      </c>
      <c r="L116" s="23"/>
      <c r="M116" s="23"/>
      <c r="N116" s="23"/>
      <c r="O116" s="23" t="str">
        <f t="shared" si="9"/>
        <v/>
      </c>
      <c r="P116" s="23"/>
      <c r="Q116" s="23"/>
      <c r="R116" s="27"/>
      <c r="S116" s="27"/>
      <c r="T116" s="23"/>
      <c r="U116" s="28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 t="s">
        <v>66</v>
      </c>
      <c r="AN116" s="23"/>
      <c r="AO116" s="23"/>
      <c r="AP116" s="23"/>
      <c r="AQ116" s="23"/>
      <c r="AR116" s="23"/>
      <c r="AS116" s="23" t="str">
        <f>IF(AND(AN116="Yes"), "Yes", IF(AND(AN116=""), "No", "Incomplete"))</f>
        <v>No</v>
      </c>
      <c r="AT116" s="29" t="str">
        <f t="shared" ref="AT116:AT123" si="14">IF(AM116="Matric",IF(AN116="Yes","Yes",IF(AN116="Under Process", "Under Process","No")),IF(AM116="Inter",IF(AO116="Yes","Yes",IF(AO116="Under Process", "Under Process","No")),IF(AM116="Bachelor",IF(AP116="Yes","Yes",IF(AP116="Under Process", "Under Process","No")),IF(AM116="Master",IF(AQ116="Yes","Yes",IF(AQ116="Under Process", "Under Process","No")),IF(AM116="Vacant",IF(D124="Yes","No","Vacant"),IF(AM116="NA",IF(D124="Yes","No","NA"),"No"))))))</f>
        <v>Vacant</v>
      </c>
      <c r="AU116" s="30"/>
      <c r="AV116" s="31"/>
      <c r="AW116" s="31"/>
      <c r="AX116" s="2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</row>
    <row r="117" spans="1:74" x14ac:dyDescent="0.25">
      <c r="A117" s="25">
        <v>97</v>
      </c>
      <c r="B117" s="23" t="s">
        <v>430</v>
      </c>
      <c r="C117" s="23" t="s">
        <v>409</v>
      </c>
      <c r="D117" s="26" t="s">
        <v>431</v>
      </c>
      <c r="E117" s="23">
        <v>5</v>
      </c>
      <c r="F117" s="23" t="s">
        <v>71</v>
      </c>
      <c r="G117" s="23">
        <f>VLOOKUP(C117,[2]Sheet2!$T$3:$V$92,3,FALSE)</f>
        <v>17</v>
      </c>
      <c r="H117" s="23" t="s">
        <v>68</v>
      </c>
      <c r="I117" s="23" t="s">
        <v>55</v>
      </c>
      <c r="J117" s="23">
        <v>1</v>
      </c>
      <c r="K117" s="6">
        <v>0.52</v>
      </c>
      <c r="L117" s="23" t="s">
        <v>432</v>
      </c>
      <c r="M117" s="23"/>
      <c r="N117" s="23"/>
      <c r="O117" s="23" t="str">
        <f t="shared" si="9"/>
        <v/>
      </c>
      <c r="P117" s="23"/>
      <c r="Q117" s="23"/>
      <c r="R117" s="27">
        <v>36636</v>
      </c>
      <c r="S117" s="27">
        <v>36636</v>
      </c>
      <c r="T117" s="23">
        <v>10112341</v>
      </c>
      <c r="U117" s="28">
        <v>4220156835749</v>
      </c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 t="s">
        <v>73</v>
      </c>
      <c r="AN117" s="23"/>
      <c r="AO117" s="23"/>
      <c r="AP117" s="23"/>
      <c r="AQ117" s="23"/>
      <c r="AR117" s="23"/>
      <c r="AS117" s="23" t="str">
        <f t="shared" ref="AS117:AS123" si="15">IF(AND(AN117="Yes", AO117="Yes", AP117="Yes"), "Yes", IF(AND(AN117="", AO117="", AP117=""), "No", "Incomplete"))</f>
        <v>No</v>
      </c>
      <c r="AT117" s="29" t="str">
        <f t="shared" si="14"/>
        <v>NA</v>
      </c>
      <c r="AU117" s="30"/>
      <c r="AV117" s="31" t="s">
        <v>64</v>
      </c>
      <c r="AW117" s="31"/>
      <c r="AX117" s="2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</row>
    <row r="118" spans="1:74" x14ac:dyDescent="0.25">
      <c r="A118" s="25">
        <v>116</v>
      </c>
      <c r="B118" s="23" t="s">
        <v>433</v>
      </c>
      <c r="C118" s="23" t="s">
        <v>434</v>
      </c>
      <c r="D118" s="26" t="s">
        <v>435</v>
      </c>
      <c r="E118" s="23">
        <v>16</v>
      </c>
      <c r="F118" s="23" t="s">
        <v>67</v>
      </c>
      <c r="G118" s="23">
        <f>VLOOKUP(C118,[2]Sheet2!$T$3:$V$92,3,FALSE)</f>
        <v>73</v>
      </c>
      <c r="H118" s="23" t="s">
        <v>68</v>
      </c>
      <c r="I118" s="23" t="s">
        <v>436</v>
      </c>
      <c r="J118" s="23">
        <v>1</v>
      </c>
      <c r="K118" s="6">
        <v>0.78</v>
      </c>
      <c r="L118" s="23" t="s">
        <v>437</v>
      </c>
      <c r="M118" s="23"/>
      <c r="N118" s="23"/>
      <c r="O118" s="23" t="str">
        <f t="shared" si="9"/>
        <v/>
      </c>
      <c r="P118" s="23"/>
      <c r="Q118" s="23"/>
      <c r="R118" s="27">
        <v>39186</v>
      </c>
      <c r="S118" s="27">
        <v>45268</v>
      </c>
      <c r="T118" s="23">
        <v>10304353</v>
      </c>
      <c r="U118" s="28">
        <v>4210178144583</v>
      </c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 t="s">
        <v>40</v>
      </c>
      <c r="AN118" s="23"/>
      <c r="AO118" s="32" t="s">
        <v>58</v>
      </c>
      <c r="AP118" s="23"/>
      <c r="AQ118" s="23"/>
      <c r="AR118" s="23"/>
      <c r="AS118" s="23" t="str">
        <f t="shared" si="15"/>
        <v>Incomplete</v>
      </c>
      <c r="AT118" s="29" t="str">
        <f t="shared" si="14"/>
        <v>Yes</v>
      </c>
      <c r="AU118" s="30"/>
      <c r="AV118" s="31"/>
      <c r="AW118" s="31"/>
      <c r="AX118" s="2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</row>
    <row r="119" spans="1:74" x14ac:dyDescent="0.25">
      <c r="A119" s="25">
        <v>504</v>
      </c>
      <c r="B119" s="23" t="s">
        <v>438</v>
      </c>
      <c r="C119" s="23" t="s">
        <v>434</v>
      </c>
      <c r="D119" s="26" t="s">
        <v>439</v>
      </c>
      <c r="E119" s="23">
        <v>18</v>
      </c>
      <c r="F119" s="23" t="s">
        <v>440</v>
      </c>
      <c r="G119" s="23">
        <f>VLOOKUP(C119,[2]Sheet2!$T$3:$V$92,3,FALSE)</f>
        <v>73</v>
      </c>
      <c r="H119" s="23" t="s">
        <v>54</v>
      </c>
      <c r="I119" s="23" t="s">
        <v>436</v>
      </c>
      <c r="J119" s="23"/>
      <c r="L119" s="23"/>
      <c r="M119" s="23"/>
      <c r="N119" s="23" t="s">
        <v>56</v>
      </c>
      <c r="O119" s="23" t="e">
        <f t="shared" ca="1" si="9"/>
        <v>#NAME?</v>
      </c>
      <c r="P119" s="23"/>
      <c r="Q119" s="23" t="s">
        <v>57</v>
      </c>
      <c r="R119" s="27"/>
      <c r="S119" s="27"/>
      <c r="T119" s="23">
        <v>10457996</v>
      </c>
      <c r="U119" s="28">
        <v>4330405781899</v>
      </c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 t="s">
        <v>42</v>
      </c>
      <c r="AN119" s="23" t="s">
        <v>58</v>
      </c>
      <c r="AO119" s="23" t="s">
        <v>58</v>
      </c>
      <c r="AP119" s="23" t="s">
        <v>121</v>
      </c>
      <c r="AQ119" s="23" t="s">
        <v>58</v>
      </c>
      <c r="AR119" s="23"/>
      <c r="AS119" s="23" t="str">
        <f t="shared" si="15"/>
        <v>Incomplete</v>
      </c>
      <c r="AT119" s="29" t="str">
        <f t="shared" si="14"/>
        <v>Yes</v>
      </c>
      <c r="AU119" s="30"/>
      <c r="AV119" s="31"/>
      <c r="AW119" s="31" t="s">
        <v>59</v>
      </c>
      <c r="AX119" s="2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</row>
    <row r="120" spans="1:74" x14ac:dyDescent="0.25">
      <c r="A120" s="25">
        <v>366</v>
      </c>
      <c r="B120" s="23" t="s">
        <v>441</v>
      </c>
      <c r="C120" s="23" t="s">
        <v>442</v>
      </c>
      <c r="D120" s="26" t="s">
        <v>66</v>
      </c>
      <c r="E120" s="23">
        <v>15</v>
      </c>
      <c r="F120" s="23" t="s">
        <v>67</v>
      </c>
      <c r="G120" s="23">
        <f>VLOOKUP(C120,[2]Sheet2!$T$3:$V$92,3,FALSE)</f>
        <v>18</v>
      </c>
      <c r="H120" s="23" t="s">
        <v>68</v>
      </c>
      <c r="I120" s="23" t="s">
        <v>55</v>
      </c>
      <c r="J120" s="23"/>
      <c r="K120" s="6">
        <v>0</v>
      </c>
      <c r="L120" s="23"/>
      <c r="M120" s="23"/>
      <c r="N120" s="23"/>
      <c r="O120" s="23" t="e">
        <f>IF(DATEVALUE(MID(N120,15,10))-DATEVALUE(LEFT(N120,10))+1&gt;=365,"1 Year",
DATEDIF(DATEVALUE(LEFT(N120,10)),DATEVALUE(MID(N120,15,10)),"Y")&amp;" Years, "&amp;DATEDIF(DATEVALUE(LEFT(N120,10)),DATEVALUE(MID(N120,15,10)),"YM")&amp;" Months, "&amp;DATEDIF(DATEVALUE(LEFT(N120,10)),DATEVALUE(MID(N120,15,10)),"MD")&amp;" Days")</f>
        <v>#VALUE!</v>
      </c>
      <c r="P120" s="23"/>
      <c r="Q120" s="23"/>
      <c r="R120" s="27"/>
      <c r="S120" s="27"/>
      <c r="T120" s="23"/>
      <c r="U120" s="28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 t="s">
        <v>66</v>
      </c>
      <c r="AN120" s="23"/>
      <c r="AO120" s="23"/>
      <c r="AP120" s="23"/>
      <c r="AQ120" s="23"/>
      <c r="AR120" s="23"/>
      <c r="AS120" s="23" t="str">
        <f t="shared" si="15"/>
        <v>No</v>
      </c>
      <c r="AT120" s="29" t="str">
        <f t="shared" si="14"/>
        <v>Vacant</v>
      </c>
      <c r="AU120" s="30"/>
      <c r="AV120" s="31"/>
      <c r="AW120" s="31"/>
      <c r="AX120" s="2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</row>
    <row r="121" spans="1:74" x14ac:dyDescent="0.25">
      <c r="A121" s="25">
        <v>507</v>
      </c>
      <c r="B121" s="23" t="s">
        <v>443</v>
      </c>
      <c r="C121" s="23" t="s">
        <v>434</v>
      </c>
      <c r="D121" s="41" t="s">
        <v>154</v>
      </c>
      <c r="E121" s="23">
        <v>14</v>
      </c>
      <c r="F121" s="23" t="s">
        <v>108</v>
      </c>
      <c r="G121" s="23">
        <f>VLOOKUP(C121,[2]Sheet2!$T$3:$V$92,3,FALSE)</f>
        <v>73</v>
      </c>
      <c r="H121" s="23" t="s">
        <v>68</v>
      </c>
      <c r="I121" s="23" t="s">
        <v>436</v>
      </c>
      <c r="J121" s="23"/>
      <c r="K121" s="6">
        <v>0</v>
      </c>
      <c r="L121" s="23"/>
      <c r="M121" s="23"/>
      <c r="N121" s="23"/>
      <c r="O121" s="23" t="e">
        <f>IF(DATEVALUE(MID(N121,15,10))-DATEVALUE(LEFT(N121,10))+1&gt;=365,"1 Year",
DATEDIF(DATEVALUE(LEFT(N121,10)),DATEVALUE(MID(N121,15,10)),"Y")&amp;" Years, "&amp;DATEDIF(DATEVALUE(LEFT(N121,10)),DATEVALUE(MID(N121,15,10)),"YM")&amp;" Months, "&amp;DATEDIF(DATEVALUE(LEFT(N121,10)),DATEVALUE(MID(N121,15,10)),"MD")&amp;" Days")</f>
        <v>#VALUE!</v>
      </c>
      <c r="P121" s="23"/>
      <c r="Q121" s="23"/>
      <c r="R121" s="27">
        <v>45953</v>
      </c>
      <c r="S121" s="27">
        <v>45953</v>
      </c>
      <c r="T121" s="23"/>
      <c r="U121" s="28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 t="s">
        <v>41</v>
      </c>
      <c r="AN121" s="32" t="s">
        <v>58</v>
      </c>
      <c r="AO121" s="32" t="s">
        <v>58</v>
      </c>
      <c r="AP121" s="32" t="s">
        <v>58</v>
      </c>
      <c r="AQ121" s="23"/>
      <c r="AR121" s="23"/>
      <c r="AS121" s="23" t="str">
        <f t="shared" si="15"/>
        <v>Yes</v>
      </c>
      <c r="AT121" s="29" t="str">
        <f t="shared" si="14"/>
        <v>Yes</v>
      </c>
      <c r="AU121" s="30"/>
      <c r="AV121" s="31"/>
      <c r="AW121" s="31"/>
      <c r="AX121" s="2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</row>
    <row r="122" spans="1:74" x14ac:dyDescent="0.25">
      <c r="A122" s="25">
        <v>119</v>
      </c>
      <c r="B122" s="23" t="s">
        <v>444</v>
      </c>
      <c r="C122" s="23" t="s">
        <v>445</v>
      </c>
      <c r="D122" s="26" t="s">
        <v>446</v>
      </c>
      <c r="E122" s="23">
        <v>18</v>
      </c>
      <c r="F122" s="23" t="s">
        <v>447</v>
      </c>
      <c r="G122" s="23">
        <f>VLOOKUP(C122,[2]Sheet2!$T$3:$V$92,3,FALSE)</f>
        <v>19</v>
      </c>
      <c r="H122" s="23" t="s">
        <v>54</v>
      </c>
      <c r="I122" s="23" t="s">
        <v>55</v>
      </c>
      <c r="J122" s="23"/>
      <c r="L122" s="23"/>
      <c r="M122" s="23"/>
      <c r="N122" s="23"/>
      <c r="O122" s="23" t="str">
        <f t="shared" ref="O122:O132" si="16">IF(ISNUMBER(SEARCH("to", N122)),
_xlfn.LET(
    _xlpm.text_n3, N122,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122" s="23"/>
      <c r="Q122" s="23"/>
      <c r="R122" s="27"/>
      <c r="S122" s="27"/>
      <c r="T122" s="23">
        <v>50159617</v>
      </c>
      <c r="U122" s="28">
        <v>5440004703173</v>
      </c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 t="s">
        <v>42</v>
      </c>
      <c r="AN122" s="32" t="s">
        <v>58</v>
      </c>
      <c r="AO122" s="32" t="s">
        <v>58</v>
      </c>
      <c r="AP122" s="32" t="s">
        <v>58</v>
      </c>
      <c r="AQ122" s="32" t="s">
        <v>58</v>
      </c>
      <c r="AR122" s="23"/>
      <c r="AS122" s="23" t="str">
        <f t="shared" si="15"/>
        <v>Yes</v>
      </c>
      <c r="AT122" s="29" t="str">
        <f t="shared" si="14"/>
        <v>Yes</v>
      </c>
      <c r="AU122" s="30"/>
      <c r="AV122" s="31"/>
      <c r="AW122" s="31" t="s">
        <v>59</v>
      </c>
      <c r="AX122" s="2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</row>
    <row r="123" spans="1:74" x14ac:dyDescent="0.25">
      <c r="A123" s="25">
        <v>120</v>
      </c>
      <c r="B123" s="23" t="s">
        <v>448</v>
      </c>
      <c r="C123" s="23" t="s">
        <v>445</v>
      </c>
      <c r="D123" s="26" t="s">
        <v>449</v>
      </c>
      <c r="E123" s="23">
        <v>16</v>
      </c>
      <c r="F123" s="23" t="s">
        <v>67</v>
      </c>
      <c r="G123" s="23">
        <f>VLOOKUP(C123,[2]Sheet2!$T$3:$V$92,3,FALSE)</f>
        <v>19</v>
      </c>
      <c r="H123" s="23" t="s">
        <v>68</v>
      </c>
      <c r="I123" s="23" t="s">
        <v>55</v>
      </c>
      <c r="J123" s="23"/>
      <c r="K123" s="6">
        <v>0</v>
      </c>
      <c r="L123" s="23"/>
      <c r="M123" s="23"/>
      <c r="N123" s="23"/>
      <c r="O123" s="23" t="str">
        <f t="shared" si="16"/>
        <v/>
      </c>
      <c r="P123" s="23"/>
      <c r="Q123" s="23"/>
      <c r="R123" s="27">
        <v>39055</v>
      </c>
      <c r="S123" s="27">
        <v>39055</v>
      </c>
      <c r="T123" s="23">
        <v>10274563</v>
      </c>
      <c r="U123" s="28">
        <v>4220150376169</v>
      </c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 t="s">
        <v>41</v>
      </c>
      <c r="AN123" s="23"/>
      <c r="AO123" s="23"/>
      <c r="AP123" s="40" t="s">
        <v>121</v>
      </c>
      <c r="AQ123" s="23"/>
      <c r="AR123" s="23"/>
      <c r="AS123" s="23" t="str">
        <f t="shared" si="15"/>
        <v>Incomplete</v>
      </c>
      <c r="AT123" s="29" t="str">
        <f t="shared" si="14"/>
        <v>Under Process</v>
      </c>
      <c r="AU123" s="30"/>
      <c r="AV123" s="31"/>
      <c r="AW123" s="31"/>
      <c r="AX123" s="2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</row>
    <row r="124" spans="1:74" x14ac:dyDescent="0.25">
      <c r="A124" s="25">
        <v>109</v>
      </c>
      <c r="B124" s="23" t="s">
        <v>450</v>
      </c>
      <c r="C124" s="23" t="s">
        <v>445</v>
      </c>
      <c r="D124" s="50" t="s">
        <v>66</v>
      </c>
      <c r="E124" s="51">
        <v>15</v>
      </c>
      <c r="F124" s="51" t="s">
        <v>67</v>
      </c>
      <c r="G124" s="23">
        <f>VLOOKUP(C124,[2]Sheet2!$T$3:$V$92,3,FALSE)</f>
        <v>19</v>
      </c>
      <c r="H124" s="23" t="s">
        <v>68</v>
      </c>
      <c r="I124" s="23" t="s">
        <v>55</v>
      </c>
      <c r="J124" s="23">
        <v>3</v>
      </c>
      <c r="K124" s="6">
        <v>0.7</v>
      </c>
      <c r="L124" s="23" t="s">
        <v>451</v>
      </c>
      <c r="M124" s="51"/>
      <c r="N124" s="51"/>
      <c r="O124" s="23" t="str">
        <f t="shared" si="16"/>
        <v/>
      </c>
      <c r="P124" s="51"/>
      <c r="Q124" s="51"/>
      <c r="R124" s="52"/>
      <c r="S124" s="53"/>
      <c r="T124" s="51"/>
      <c r="U124" s="54"/>
      <c r="V124" s="50"/>
      <c r="W124" s="55"/>
      <c r="X124" s="52"/>
      <c r="Y124" s="52"/>
      <c r="Z124" s="54"/>
      <c r="AA124" s="52"/>
      <c r="AB124" s="52"/>
      <c r="AC124" s="56"/>
      <c r="AD124" s="54"/>
      <c r="AE124" s="52"/>
      <c r="AF124" s="52"/>
      <c r="AG124" s="52"/>
      <c r="AH124" s="54"/>
      <c r="AI124" s="54"/>
      <c r="AJ124" s="52"/>
      <c r="AK124" s="54"/>
      <c r="AL124" s="52"/>
      <c r="AM124" s="52"/>
      <c r="AN124" s="52"/>
      <c r="AO124" s="56"/>
      <c r="AP124" s="52"/>
      <c r="AQ124" s="56"/>
      <c r="AR124" s="52"/>
      <c r="AS124" s="52"/>
      <c r="AT124" s="52"/>
      <c r="AU124" s="57"/>
      <c r="AV124" s="57"/>
      <c r="AW124" s="57"/>
      <c r="AX124" s="49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</row>
    <row r="125" spans="1:74" x14ac:dyDescent="0.25">
      <c r="A125" s="25">
        <v>122</v>
      </c>
      <c r="B125" s="23" t="s">
        <v>452</v>
      </c>
      <c r="C125" s="23" t="s">
        <v>445</v>
      </c>
      <c r="D125" s="26" t="s">
        <v>66</v>
      </c>
      <c r="E125" s="23">
        <v>14</v>
      </c>
      <c r="F125" s="23" t="s">
        <v>395</v>
      </c>
      <c r="G125" s="23">
        <f>VLOOKUP(C125,[2]Sheet2!$T$3:$V$92,3,FALSE)</f>
        <v>19</v>
      </c>
      <c r="H125" s="23" t="s">
        <v>68</v>
      </c>
      <c r="I125" s="23" t="s">
        <v>55</v>
      </c>
      <c r="J125" s="23" t="e">
        <v>#N/A</v>
      </c>
      <c r="K125" s="6" t="e">
        <v>#N/A</v>
      </c>
      <c r="L125" s="23" t="e">
        <v>#N/A</v>
      </c>
      <c r="M125" s="23"/>
      <c r="N125" s="23"/>
      <c r="O125" s="23" t="str">
        <f t="shared" si="16"/>
        <v/>
      </c>
      <c r="P125" s="23"/>
      <c r="Q125" s="23"/>
      <c r="R125" s="27"/>
      <c r="S125" s="27"/>
      <c r="T125" s="23"/>
      <c r="U125" s="28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 t="s">
        <v>66</v>
      </c>
      <c r="AN125" s="23"/>
      <c r="AO125" s="23"/>
      <c r="AP125" s="23"/>
      <c r="AQ125" s="23"/>
      <c r="AR125" s="23"/>
      <c r="AS125" s="23" t="str">
        <f>IF(AND(AN125="Yes", AO125="Yes", AP125="Yes"), "Yes", IF(AND(AN125="", AO125="", AP125=""), "No", "Incomplete"))</f>
        <v>No</v>
      </c>
      <c r="AT125" s="29" t="str">
        <f t="shared" ref="AT125:AT130" si="17">IF(AM125="Matric",IF(AN125="Yes","Yes",IF(AN125="Under Process", "Under Process","No")),IF(AM125="Inter",IF(AO125="Yes","Yes",IF(AO125="Under Process", "Under Process","No")),IF(AM125="Bachelor",IF(AP125="Yes","Yes",IF(AP125="Under Process", "Under Process","No")),IF(AM125="Master",IF(AQ125="Yes","Yes",IF(AQ125="Under Process", "Under Process","No")),IF(AM125="Vacant",IF(D133="Yes","No","Vacant"),IF(AM125="NA",IF(D133="Yes","No","NA"),"No"))))))</f>
        <v>Vacant</v>
      </c>
      <c r="AU125" s="30"/>
      <c r="AV125" s="31"/>
      <c r="AW125" s="31"/>
      <c r="AX125" s="2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</row>
    <row r="126" spans="1:74" x14ac:dyDescent="0.25">
      <c r="A126" s="25">
        <v>123</v>
      </c>
      <c r="B126" s="23" t="s">
        <v>453</v>
      </c>
      <c r="C126" s="23" t="s">
        <v>445</v>
      </c>
      <c r="D126" s="26" t="s">
        <v>454</v>
      </c>
      <c r="E126" s="23">
        <v>13</v>
      </c>
      <c r="F126" s="23" t="s">
        <v>131</v>
      </c>
      <c r="G126" s="23">
        <f>VLOOKUP(C126,[2]Sheet2!$T$3:$V$92,3,FALSE)</f>
        <v>19</v>
      </c>
      <c r="H126" s="23" t="s">
        <v>68</v>
      </c>
      <c r="I126" s="23" t="s">
        <v>55</v>
      </c>
      <c r="J126" s="23">
        <v>3</v>
      </c>
      <c r="K126" s="6">
        <v>0.7</v>
      </c>
      <c r="L126" s="23" t="s">
        <v>455</v>
      </c>
      <c r="M126" s="23"/>
      <c r="N126" s="23"/>
      <c r="O126" s="23" t="str">
        <f t="shared" si="16"/>
        <v/>
      </c>
      <c r="P126" s="23"/>
      <c r="Q126" s="23"/>
      <c r="R126" s="27"/>
      <c r="S126" s="27"/>
      <c r="T126" s="23">
        <v>50699251</v>
      </c>
      <c r="U126" s="28">
        <v>4130497704499</v>
      </c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 t="s">
        <v>41</v>
      </c>
      <c r="AN126" s="32" t="s">
        <v>58</v>
      </c>
      <c r="AO126" s="32" t="s">
        <v>58</v>
      </c>
      <c r="AP126" s="32" t="s">
        <v>58</v>
      </c>
      <c r="AQ126" s="23"/>
      <c r="AR126" s="23"/>
      <c r="AS126" s="23" t="str">
        <f>IF(AND(AN126="Yes", AO126="Yes"), "Yes", IF(AND(AN126="", AO126=""), "No", "Incomplete"))</f>
        <v>Yes</v>
      </c>
      <c r="AT126" s="29" t="str">
        <f t="shared" si="17"/>
        <v>Yes</v>
      </c>
      <c r="AU126" s="30"/>
      <c r="AV126" s="31"/>
      <c r="AW126" s="31"/>
      <c r="AX126" s="2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</row>
    <row r="127" spans="1:74" x14ac:dyDescent="0.25">
      <c r="A127" s="25">
        <v>641</v>
      </c>
      <c r="B127" s="23" t="s">
        <v>456</v>
      </c>
      <c r="C127" s="23" t="s">
        <v>445</v>
      </c>
      <c r="D127" s="26" t="s">
        <v>66</v>
      </c>
      <c r="E127" s="23">
        <v>11</v>
      </c>
      <c r="F127" s="23" t="s">
        <v>138</v>
      </c>
      <c r="G127" s="23">
        <f>VLOOKUP(C127,[2]Sheet2!$T$3:$V$92,3,FALSE)</f>
        <v>19</v>
      </c>
      <c r="H127" s="23" t="s">
        <v>68</v>
      </c>
      <c r="I127" s="23" t="s">
        <v>55</v>
      </c>
      <c r="J127" s="23"/>
      <c r="L127" s="23"/>
      <c r="M127" s="23"/>
      <c r="N127" s="23"/>
      <c r="O127" s="23" t="str">
        <f t="shared" si="16"/>
        <v/>
      </c>
      <c r="P127" s="23"/>
      <c r="Q127" s="23"/>
      <c r="R127" s="27"/>
      <c r="S127" s="27"/>
      <c r="T127" s="23"/>
      <c r="U127" s="28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 t="s">
        <v>66</v>
      </c>
      <c r="AN127" s="23"/>
      <c r="AO127" s="23"/>
      <c r="AP127" s="23"/>
      <c r="AQ127" s="23"/>
      <c r="AR127" s="23"/>
      <c r="AS127" s="23" t="str">
        <f>IF(AND(AN127="Yes", AO127="Yes"), "Yes", IF(AND(AN127="", AO127=""), "No", "Incomplete"))</f>
        <v>No</v>
      </c>
      <c r="AT127" s="29" t="str">
        <f t="shared" si="17"/>
        <v>Vacant</v>
      </c>
      <c r="AU127" s="30"/>
      <c r="AV127" s="31"/>
      <c r="AW127" s="31"/>
      <c r="AX127" s="2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</row>
    <row r="128" spans="1:74" x14ac:dyDescent="0.25">
      <c r="A128" s="25">
        <v>74</v>
      </c>
      <c r="B128" s="23" t="s">
        <v>457</v>
      </c>
      <c r="C128" s="23" t="s">
        <v>442</v>
      </c>
      <c r="D128" s="26" t="s">
        <v>458</v>
      </c>
      <c r="E128" s="23">
        <v>2</v>
      </c>
      <c r="F128" s="23" t="s">
        <v>71</v>
      </c>
      <c r="G128" s="23">
        <f>VLOOKUP(C128,[2]Sheet2!$T$3:$V$92,3,FALSE)</f>
        <v>18</v>
      </c>
      <c r="H128" s="23" t="s">
        <v>68</v>
      </c>
      <c r="I128" s="23" t="s">
        <v>55</v>
      </c>
      <c r="J128" s="23">
        <v>2</v>
      </c>
      <c r="K128" s="6">
        <v>0.6</v>
      </c>
      <c r="L128" s="23" t="s">
        <v>459</v>
      </c>
      <c r="M128" s="23"/>
      <c r="N128" s="23"/>
      <c r="O128" s="23" t="str">
        <f t="shared" si="16"/>
        <v/>
      </c>
      <c r="P128" s="23"/>
      <c r="Q128" s="23"/>
      <c r="R128" s="27">
        <v>45097</v>
      </c>
      <c r="S128" s="27">
        <v>45847</v>
      </c>
      <c r="T128" s="23">
        <v>50746212</v>
      </c>
      <c r="U128" s="28">
        <v>4250190864843</v>
      </c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 t="s">
        <v>39</v>
      </c>
      <c r="AN128" s="32" t="s">
        <v>58</v>
      </c>
      <c r="AO128" s="23"/>
      <c r="AP128" s="23"/>
      <c r="AQ128" s="23"/>
      <c r="AR128" s="23"/>
      <c r="AS128" s="23" t="str">
        <f>IF(AND(AN128="Yes"), "Yes", IF(AND(AN128=""), "No", "Incomplete"))</f>
        <v>Yes</v>
      </c>
      <c r="AT128" s="29" t="str">
        <f t="shared" si="17"/>
        <v>Yes</v>
      </c>
      <c r="AU128" s="30"/>
      <c r="AV128" s="31" t="s">
        <v>64</v>
      </c>
      <c r="AW128" s="31"/>
      <c r="AX128" s="2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</row>
    <row r="129" spans="1:74" x14ac:dyDescent="0.25">
      <c r="A129" s="25">
        <v>125</v>
      </c>
      <c r="B129" s="23" t="s">
        <v>460</v>
      </c>
      <c r="C129" s="23" t="s">
        <v>445</v>
      </c>
      <c r="D129" s="26" t="s">
        <v>461</v>
      </c>
      <c r="E129" s="23">
        <v>4</v>
      </c>
      <c r="F129" s="23" t="s">
        <v>71</v>
      </c>
      <c r="G129" s="23">
        <f>VLOOKUP(C129,[2]Sheet2!$T$3:$V$92,3,FALSE)</f>
        <v>19</v>
      </c>
      <c r="H129" s="23" t="s">
        <v>68</v>
      </c>
      <c r="I129" s="23" t="s">
        <v>55</v>
      </c>
      <c r="J129" s="23">
        <v>3</v>
      </c>
      <c r="K129" s="6">
        <v>0.72</v>
      </c>
      <c r="L129" s="23" t="s">
        <v>265</v>
      </c>
      <c r="M129" s="23"/>
      <c r="N129" s="23"/>
      <c r="O129" s="23" t="str">
        <f t="shared" si="16"/>
        <v/>
      </c>
      <c r="P129" s="23"/>
      <c r="Q129" s="23"/>
      <c r="R129" s="27">
        <v>44701</v>
      </c>
      <c r="S129" s="27">
        <v>45540</v>
      </c>
      <c r="T129" s="23">
        <v>50699530</v>
      </c>
      <c r="U129" s="28">
        <v>4210153019391</v>
      </c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 t="s">
        <v>73</v>
      </c>
      <c r="AN129" s="23"/>
      <c r="AO129" s="23"/>
      <c r="AP129" s="23"/>
      <c r="AQ129" s="23"/>
      <c r="AR129" s="23"/>
      <c r="AS129" s="23" t="str">
        <f>IF(AND(AN129="Yes"), "Yes", IF(AND(AN129=""), "No", "Incomplete"))</f>
        <v>No</v>
      </c>
      <c r="AT129" s="29" t="str">
        <f t="shared" si="17"/>
        <v>NA</v>
      </c>
      <c r="AU129" s="30"/>
      <c r="AV129" s="31"/>
      <c r="AW129" s="31"/>
      <c r="AX129" s="2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</row>
    <row r="130" spans="1:74" ht="28.5" x14ac:dyDescent="0.25">
      <c r="A130" s="25">
        <v>127</v>
      </c>
      <c r="B130" s="23" t="s">
        <v>462</v>
      </c>
      <c r="C130" s="23" t="s">
        <v>463</v>
      </c>
      <c r="D130" s="26" t="s">
        <v>464</v>
      </c>
      <c r="E130" s="23">
        <v>18</v>
      </c>
      <c r="F130" s="23" t="s">
        <v>465</v>
      </c>
      <c r="G130" s="23">
        <f>VLOOKUP(C130,[2]Sheet2!$T$3:$V$92,3,FALSE)</f>
        <v>20</v>
      </c>
      <c r="H130" s="23" t="s">
        <v>54</v>
      </c>
      <c r="I130" s="23" t="s">
        <v>55</v>
      </c>
      <c r="J130" s="23"/>
      <c r="L130" s="23"/>
      <c r="M130" s="23"/>
      <c r="N130" s="23" t="s">
        <v>105</v>
      </c>
      <c r="O130" s="23" t="e">
        <f t="shared" ca="1" si="16"/>
        <v>#NAME?</v>
      </c>
      <c r="P130" s="23"/>
      <c r="Q130" s="23" t="s">
        <v>57</v>
      </c>
      <c r="R130" s="27"/>
      <c r="S130" s="27"/>
      <c r="T130" s="23">
        <v>50711024</v>
      </c>
      <c r="U130" s="28">
        <v>4230181502263</v>
      </c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 t="s">
        <v>42</v>
      </c>
      <c r="AN130" s="23" t="s">
        <v>466</v>
      </c>
      <c r="AO130" s="23" t="s">
        <v>58</v>
      </c>
      <c r="AP130" s="23" t="s">
        <v>58</v>
      </c>
      <c r="AQ130" s="23" t="s">
        <v>58</v>
      </c>
      <c r="AR130" s="23"/>
      <c r="AS130" s="23" t="str">
        <f>IF(AND(AN130="Yes", AO130="Yes", AP130="Yes"), "Yes", IF(AND(AN130="", AO130="", AP130=""), "No", "Incomplete"))</f>
        <v>Incomplete</v>
      </c>
      <c r="AT130" s="29" t="str">
        <f t="shared" si="17"/>
        <v>Yes</v>
      </c>
      <c r="AU130" s="30"/>
      <c r="AV130" s="31"/>
      <c r="AW130" s="31" t="s">
        <v>59</v>
      </c>
      <c r="AX130" s="2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</row>
    <row r="131" spans="1:74" x14ac:dyDescent="0.25">
      <c r="A131" s="25">
        <v>128</v>
      </c>
      <c r="B131" s="23" t="s">
        <v>467</v>
      </c>
      <c r="C131" s="23" t="s">
        <v>463</v>
      </c>
      <c r="D131" s="4" t="s">
        <v>66</v>
      </c>
      <c r="E131" s="1">
        <v>15</v>
      </c>
      <c r="F131" s="1" t="s">
        <v>67</v>
      </c>
      <c r="G131" s="23">
        <f>VLOOKUP(C131,[2]Sheet2!$T$3:$V$92,3,FALSE)</f>
        <v>20</v>
      </c>
      <c r="H131" s="23" t="s">
        <v>68</v>
      </c>
      <c r="I131" s="23" t="s">
        <v>55</v>
      </c>
      <c r="J131" s="2">
        <v>2</v>
      </c>
      <c r="K131" s="6">
        <v>0.73</v>
      </c>
      <c r="L131" s="2" t="s">
        <v>468</v>
      </c>
      <c r="M131" s="1"/>
      <c r="N131" s="1"/>
      <c r="O131" s="23" t="str">
        <f t="shared" si="16"/>
        <v/>
      </c>
      <c r="P131" s="1"/>
      <c r="Q131" s="1"/>
      <c r="S131" s="49"/>
      <c r="T131" s="1"/>
      <c r="U131" s="58"/>
      <c r="V131" s="4"/>
      <c r="W131" s="59"/>
      <c r="X131"/>
      <c r="Y131"/>
      <c r="Z131" s="58"/>
      <c r="AA131"/>
      <c r="AC131" s="60"/>
      <c r="AG131"/>
      <c r="AI131" s="58"/>
      <c r="AK131" s="58"/>
      <c r="AL131"/>
      <c r="AM131"/>
      <c r="AO131" s="60"/>
      <c r="AQ131" s="60"/>
      <c r="AS131"/>
      <c r="AU131" s="49"/>
      <c r="AV131" s="49"/>
      <c r="AW131" s="49"/>
      <c r="AX131" s="49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</row>
    <row r="132" spans="1:74" x14ac:dyDescent="0.25">
      <c r="A132" s="25">
        <v>129</v>
      </c>
      <c r="B132" s="23" t="s">
        <v>469</v>
      </c>
      <c r="C132" s="23" t="s">
        <v>463</v>
      </c>
      <c r="D132" s="26" t="s">
        <v>470</v>
      </c>
      <c r="E132" s="23">
        <v>15</v>
      </c>
      <c r="F132" s="23" t="s">
        <v>126</v>
      </c>
      <c r="G132" s="23">
        <f>VLOOKUP(C132,[2]Sheet2!$T$3:$V$92,3,FALSE)</f>
        <v>20</v>
      </c>
      <c r="H132" s="23" t="s">
        <v>68</v>
      </c>
      <c r="I132" s="23" t="s">
        <v>55</v>
      </c>
      <c r="J132" s="23">
        <v>4</v>
      </c>
      <c r="K132" s="6">
        <v>0.8</v>
      </c>
      <c r="L132" s="23" t="s">
        <v>471</v>
      </c>
      <c r="M132" s="23"/>
      <c r="N132" s="23"/>
      <c r="O132" s="23" t="str">
        <f t="shared" si="16"/>
        <v/>
      </c>
      <c r="P132" s="23"/>
      <c r="Q132" s="23"/>
      <c r="R132" s="27">
        <v>41367</v>
      </c>
      <c r="S132" s="27">
        <v>44967</v>
      </c>
      <c r="T132" s="23">
        <v>50179594</v>
      </c>
      <c r="U132" s="28">
        <v>4530347442307</v>
      </c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 t="s">
        <v>41</v>
      </c>
      <c r="AN132" s="32" t="s">
        <v>58</v>
      </c>
      <c r="AO132" s="32" t="s">
        <v>58</v>
      </c>
      <c r="AP132" s="32" t="s">
        <v>58</v>
      </c>
      <c r="AQ132" s="23"/>
      <c r="AR132" s="23"/>
      <c r="AS132" s="23" t="str">
        <f>IF(AND(AN132="Yes", AO132="Yes", AP132="Yes"), "Yes", IF(AND(AN132="", AO132="", AP132=""), "No", "Incomplete"))</f>
        <v>Yes</v>
      </c>
      <c r="AT132" s="29" t="str">
        <f t="shared" ref="AT132:AT162" si="18">IF(AM132="Matric",IF(AN132="Yes","Yes",IF(AN132="Under Process", "Under Process","No")),IF(AM132="Inter",IF(AO132="Yes","Yes",IF(AO132="Under Process", "Under Process","No")),IF(AM132="Bachelor",IF(AP132="Yes","Yes",IF(AP132="Under Process", "Under Process","No")),IF(AM132="Master",IF(AQ132="Yes","Yes",IF(AQ132="Under Process", "Under Process","No")),IF(AM132="Vacant",IF(D140="Yes","No","Vacant"),IF(AM132="NA",IF(D140="Yes","No","NA"),"No"))))))</f>
        <v>Yes</v>
      </c>
      <c r="AU132" s="30"/>
      <c r="AV132" s="31"/>
      <c r="AW132" s="31"/>
      <c r="AX132" s="2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</row>
    <row r="133" spans="1:74" x14ac:dyDescent="0.25">
      <c r="A133" s="25">
        <v>301</v>
      </c>
      <c r="B133" s="23" t="s">
        <v>472</v>
      </c>
      <c r="C133" s="23" t="s">
        <v>463</v>
      </c>
      <c r="D133" s="26" t="s">
        <v>66</v>
      </c>
      <c r="E133" s="23">
        <v>13</v>
      </c>
      <c r="F133" s="23" t="s">
        <v>131</v>
      </c>
      <c r="G133" s="23">
        <f>VLOOKUP(C133,[2]Sheet2!$T$3:$V$92,3,FALSE)</f>
        <v>20</v>
      </c>
      <c r="H133" s="23" t="s">
        <v>68</v>
      </c>
      <c r="I133" s="23" t="s">
        <v>436</v>
      </c>
      <c r="J133" s="23"/>
      <c r="K133" s="6">
        <v>0</v>
      </c>
      <c r="L133" s="23"/>
      <c r="M133" s="23"/>
      <c r="N133" s="23"/>
      <c r="O133" s="23" t="e">
        <f>IF(DATEVALUE(MID(N133,15,10))-DATEVALUE(LEFT(N133,10))+1&gt;=365,"1 Year",
DATEDIF(DATEVALUE(LEFT(N133,10)),DATEVALUE(MID(N133,15,10)),"Y")&amp;" Years, "&amp;DATEDIF(DATEVALUE(LEFT(N133,10)),DATEVALUE(MID(N133,15,10)),"YM")&amp;" Months, "&amp;DATEDIF(DATEVALUE(LEFT(N133,10)),DATEVALUE(MID(N133,15,10)),"MD")&amp;" Days")</f>
        <v>#VALUE!</v>
      </c>
      <c r="P133" s="23"/>
      <c r="Q133" s="23"/>
      <c r="R133" s="27"/>
      <c r="S133" s="27"/>
      <c r="T133" s="23"/>
      <c r="U133" s="28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 t="s">
        <v>66</v>
      </c>
      <c r="AN133" s="23"/>
      <c r="AO133" s="23"/>
      <c r="AP133" s="23"/>
      <c r="AQ133" s="23"/>
      <c r="AR133" s="23"/>
      <c r="AS133" s="23" t="str">
        <f>IF(AND(AN133="Yes", AO133="Yes"), "Yes", IF(AND(AN133="", AO133=""), "No", "Incomplete"))</f>
        <v>No</v>
      </c>
      <c r="AT133" s="29" t="str">
        <f t="shared" si="18"/>
        <v>Vacant</v>
      </c>
      <c r="AU133" s="30"/>
      <c r="AV133" s="31"/>
      <c r="AW133" s="31"/>
      <c r="AX133" s="2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</row>
    <row r="134" spans="1:74" x14ac:dyDescent="0.25">
      <c r="A134" s="25">
        <v>131</v>
      </c>
      <c r="B134" s="23" t="s">
        <v>473</v>
      </c>
      <c r="C134" s="23" t="s">
        <v>463</v>
      </c>
      <c r="D134" s="26" t="s">
        <v>474</v>
      </c>
      <c r="E134" s="23">
        <v>11</v>
      </c>
      <c r="F134" s="23" t="s">
        <v>138</v>
      </c>
      <c r="G134" s="23">
        <f>VLOOKUP(C134,[2]Sheet2!$T$3:$V$92,3,FALSE)</f>
        <v>20</v>
      </c>
      <c r="H134" s="23" t="s">
        <v>68</v>
      </c>
      <c r="I134" s="23" t="s">
        <v>55</v>
      </c>
      <c r="J134" s="23">
        <v>1</v>
      </c>
      <c r="K134" s="6">
        <v>0.78</v>
      </c>
      <c r="L134" s="23" t="s">
        <v>475</v>
      </c>
      <c r="M134" s="23"/>
      <c r="N134" s="23"/>
      <c r="O134" s="23" t="str">
        <f t="shared" ref="O134:O140" si="19">IF(ISNUMBER(SEARCH("to", N134)),
_xlfn.LET(
    _xlpm.text_n3, N134,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134" s="23"/>
      <c r="Q134" s="23"/>
      <c r="R134" s="27">
        <v>45127</v>
      </c>
      <c r="S134" s="27">
        <v>45127</v>
      </c>
      <c r="T134" s="23">
        <v>50750197</v>
      </c>
      <c r="U134" s="28">
        <v>4240139953808</v>
      </c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 t="s">
        <v>40</v>
      </c>
      <c r="AN134" s="23" t="s">
        <v>58</v>
      </c>
      <c r="AO134" s="32" t="s">
        <v>58</v>
      </c>
      <c r="AP134" s="23"/>
      <c r="AQ134" s="23"/>
      <c r="AR134" s="23"/>
      <c r="AS134" s="23" t="str">
        <f>IF(AND(AN134="Yes"), "Yes", IF(AND(AN134=""), "No", "Incomplete"))</f>
        <v>Yes</v>
      </c>
      <c r="AT134" s="29" t="str">
        <f t="shared" si="18"/>
        <v>Yes</v>
      </c>
      <c r="AU134" s="30"/>
      <c r="AV134" s="31"/>
      <c r="AW134" s="31" t="s">
        <v>59</v>
      </c>
      <c r="AX134" s="2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</row>
    <row r="135" spans="1:74" x14ac:dyDescent="0.25">
      <c r="A135" s="25">
        <v>114</v>
      </c>
      <c r="B135" s="23" t="s">
        <v>476</v>
      </c>
      <c r="C135" s="23" t="s">
        <v>445</v>
      </c>
      <c r="D135" s="26" t="s">
        <v>477</v>
      </c>
      <c r="E135" s="23">
        <v>2</v>
      </c>
      <c r="F135" s="23" t="s">
        <v>71</v>
      </c>
      <c r="G135" s="23">
        <f>VLOOKUP(C135,[2]Sheet2!$T$3:$V$92,3,FALSE)</f>
        <v>19</v>
      </c>
      <c r="H135" s="23" t="s">
        <v>68</v>
      </c>
      <c r="I135" s="23" t="s">
        <v>55</v>
      </c>
      <c r="J135" s="23">
        <v>1</v>
      </c>
      <c r="K135" s="6">
        <v>0.79</v>
      </c>
      <c r="L135" s="23" t="s">
        <v>478</v>
      </c>
      <c r="M135" s="23"/>
      <c r="N135" s="23"/>
      <c r="O135" s="23" t="str">
        <f t="shared" si="19"/>
        <v/>
      </c>
      <c r="P135" s="23"/>
      <c r="Q135" s="23"/>
      <c r="R135" s="27">
        <v>45103</v>
      </c>
      <c r="S135" s="27">
        <v>45103</v>
      </c>
      <c r="T135" s="23">
        <v>50746216</v>
      </c>
      <c r="U135" s="28">
        <v>4210194038242</v>
      </c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 t="s">
        <v>40</v>
      </c>
      <c r="AN135" s="23"/>
      <c r="AO135" s="32" t="s">
        <v>58</v>
      </c>
      <c r="AP135" s="23"/>
      <c r="AQ135" s="23"/>
      <c r="AR135" s="23"/>
      <c r="AS135" s="23" t="str">
        <f>IF(AND(AN135="Yes"), "Yes", IF(AND(AN135=""), "No", "Incomplete"))</f>
        <v>No</v>
      </c>
      <c r="AT135" s="29" t="str">
        <f t="shared" si="18"/>
        <v>Yes</v>
      </c>
      <c r="AU135" s="30"/>
      <c r="AV135" s="31"/>
      <c r="AW135" s="31" t="s">
        <v>59</v>
      </c>
      <c r="AX135" s="2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</row>
    <row r="136" spans="1:74" x14ac:dyDescent="0.25">
      <c r="A136" s="25">
        <v>133</v>
      </c>
      <c r="B136" s="23" t="s">
        <v>479</v>
      </c>
      <c r="C136" s="23" t="s">
        <v>228</v>
      </c>
      <c r="D136" s="26" t="s">
        <v>144</v>
      </c>
      <c r="E136" s="23">
        <v>17</v>
      </c>
      <c r="F136" s="23" t="s">
        <v>480</v>
      </c>
      <c r="G136" s="23">
        <f>VLOOKUP(C136,[2]Sheet2!$T$3:$V$92,3,FALSE)</f>
        <v>21</v>
      </c>
      <c r="H136" s="23" t="s">
        <v>54</v>
      </c>
      <c r="I136" s="23" t="s">
        <v>55</v>
      </c>
      <c r="J136" s="23"/>
      <c r="L136" s="23"/>
      <c r="M136" s="23"/>
      <c r="N136" s="23" t="s">
        <v>481</v>
      </c>
      <c r="O136" s="23" t="e">
        <f t="shared" ca="1" si="19"/>
        <v>#NAME?</v>
      </c>
      <c r="P136" s="23"/>
      <c r="Q136" s="23" t="s">
        <v>57</v>
      </c>
      <c r="R136" s="27"/>
      <c r="S136" s="27"/>
      <c r="T136" s="23"/>
      <c r="U136" s="28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 t="s">
        <v>41</v>
      </c>
      <c r="AN136" s="23"/>
      <c r="AO136" s="23"/>
      <c r="AP136" s="32" t="s">
        <v>58</v>
      </c>
      <c r="AQ136" s="23"/>
      <c r="AR136" s="23"/>
      <c r="AS136" s="23" t="str">
        <f>IF(AND(AN136="Yes", AO136="Yes", AP136="Yes"), "Yes", IF(AND(AN136="", AO136="", AP136=""), "No", "Incomplete"))</f>
        <v>Incomplete</v>
      </c>
      <c r="AT136" s="29" t="str">
        <f t="shared" si="18"/>
        <v>Yes</v>
      </c>
      <c r="AU136" s="30"/>
      <c r="AV136" s="31"/>
      <c r="AW136" s="31" t="s">
        <v>59</v>
      </c>
      <c r="AX136" s="2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</row>
    <row r="137" spans="1:74" ht="28.5" x14ac:dyDescent="0.25">
      <c r="A137" s="25">
        <v>134</v>
      </c>
      <c r="B137" s="23" t="s">
        <v>482</v>
      </c>
      <c r="C137" s="23" t="s">
        <v>228</v>
      </c>
      <c r="D137" s="26" t="s">
        <v>483</v>
      </c>
      <c r="E137" s="23">
        <v>15</v>
      </c>
      <c r="F137" s="23" t="s">
        <v>484</v>
      </c>
      <c r="G137" s="23">
        <f>VLOOKUP(C137,[2]Sheet2!$T$3:$V$92,3,FALSE)</f>
        <v>21</v>
      </c>
      <c r="H137" s="23" t="s">
        <v>68</v>
      </c>
      <c r="I137" s="23" t="s">
        <v>55</v>
      </c>
      <c r="J137" s="23">
        <v>1</v>
      </c>
      <c r="K137" s="6">
        <v>0.72</v>
      </c>
      <c r="L137" s="23" t="s">
        <v>485</v>
      </c>
      <c r="M137" s="23"/>
      <c r="N137" s="23" t="s">
        <v>56</v>
      </c>
      <c r="O137" s="23" t="e">
        <f t="shared" ca="1" si="19"/>
        <v>#NAME?</v>
      </c>
      <c r="P137" s="23" t="s">
        <v>238</v>
      </c>
      <c r="Q137" s="23" t="s">
        <v>97</v>
      </c>
      <c r="R137" s="27">
        <v>45148</v>
      </c>
      <c r="S137" s="27">
        <v>45148</v>
      </c>
      <c r="T137" s="23">
        <v>50753858</v>
      </c>
      <c r="U137" s="28">
        <v>4320343811577</v>
      </c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 t="s">
        <v>41</v>
      </c>
      <c r="AN137" s="23" t="s">
        <v>58</v>
      </c>
      <c r="AO137" s="23" t="s">
        <v>58</v>
      </c>
      <c r="AP137" s="40" t="s">
        <v>486</v>
      </c>
      <c r="AQ137" s="23"/>
      <c r="AR137" s="23"/>
      <c r="AS137" s="23" t="str">
        <f>IF(AND(AN137="Yes", AO137="Yes", AP137="Yes"), "Yes", IF(AND(AN137="", AO137="", AP137=""), "No", "Incomplete"))</f>
        <v>Incomplete</v>
      </c>
      <c r="AT137" s="29" t="str">
        <f t="shared" si="18"/>
        <v>Under Process</v>
      </c>
      <c r="AU137" s="30"/>
      <c r="AV137" s="31"/>
      <c r="AW137" s="31" t="s">
        <v>59</v>
      </c>
      <c r="AX137" s="2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</row>
    <row r="138" spans="1:74" x14ac:dyDescent="0.25">
      <c r="A138" s="25">
        <v>135</v>
      </c>
      <c r="B138" s="23" t="s">
        <v>487</v>
      </c>
      <c r="C138" s="23" t="s">
        <v>228</v>
      </c>
      <c r="D138" s="26" t="s">
        <v>66</v>
      </c>
      <c r="E138" s="23">
        <v>15</v>
      </c>
      <c r="F138" s="23" t="s">
        <v>488</v>
      </c>
      <c r="G138" s="23">
        <f>VLOOKUP(C138,[2]Sheet2!$T$3:$V$92,3,FALSE)</f>
        <v>21</v>
      </c>
      <c r="H138" s="23" t="s">
        <v>68</v>
      </c>
      <c r="I138" s="23" t="s">
        <v>55</v>
      </c>
      <c r="J138" s="23"/>
      <c r="K138" s="6">
        <v>0</v>
      </c>
      <c r="L138" s="23"/>
      <c r="M138" s="23"/>
      <c r="N138" s="23"/>
      <c r="O138" s="23" t="str">
        <f t="shared" si="19"/>
        <v/>
      </c>
      <c r="P138" s="23"/>
      <c r="Q138" s="23"/>
      <c r="R138" s="27"/>
      <c r="S138" s="27"/>
      <c r="T138" s="23"/>
      <c r="U138" s="28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 t="s">
        <v>66</v>
      </c>
      <c r="AN138" s="23"/>
      <c r="AO138" s="23"/>
      <c r="AP138" s="23"/>
      <c r="AQ138" s="23"/>
      <c r="AR138" s="23"/>
      <c r="AS138" s="23" t="str">
        <f>IF(AND(AN138="Yes", AO138="Yes", AP138="Yes"), "Yes", IF(AND(AN138="", AO138="", AP138=""), "No", "Incomplete"))</f>
        <v>No</v>
      </c>
      <c r="AT138" s="29" t="str">
        <f t="shared" si="18"/>
        <v>Vacant</v>
      </c>
      <c r="AU138" s="30"/>
      <c r="AV138" s="31"/>
      <c r="AW138" s="31"/>
      <c r="AX138" s="2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</row>
    <row r="139" spans="1:74" x14ac:dyDescent="0.25">
      <c r="A139" s="25">
        <v>136</v>
      </c>
      <c r="B139" s="23" t="s">
        <v>489</v>
      </c>
      <c r="C139" s="23" t="s">
        <v>228</v>
      </c>
      <c r="D139" s="26" t="s">
        <v>66</v>
      </c>
      <c r="E139" s="23">
        <v>14</v>
      </c>
      <c r="F139" s="23" t="s">
        <v>108</v>
      </c>
      <c r="G139" s="23">
        <f>VLOOKUP(C139,[2]Sheet2!$T$3:$V$92,3,FALSE)</f>
        <v>21</v>
      </c>
      <c r="H139" s="23" t="s">
        <v>68</v>
      </c>
      <c r="I139" s="23" t="s">
        <v>55</v>
      </c>
      <c r="J139" s="23"/>
      <c r="K139" s="6">
        <v>0</v>
      </c>
      <c r="L139" s="23"/>
      <c r="M139" s="23"/>
      <c r="N139" s="23"/>
      <c r="O139" s="23" t="str">
        <f t="shared" si="19"/>
        <v/>
      </c>
      <c r="P139" s="23"/>
      <c r="Q139" s="23"/>
      <c r="R139" s="27"/>
      <c r="S139" s="27"/>
      <c r="T139" s="23"/>
      <c r="U139" s="28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 t="s">
        <v>66</v>
      </c>
      <c r="AN139" s="23"/>
      <c r="AO139" s="23"/>
      <c r="AP139" s="23"/>
      <c r="AQ139" s="23"/>
      <c r="AR139" s="23"/>
      <c r="AS139" s="23" t="str">
        <f>IF(AND(AN139="Yes", AO139="Yes", AP139="Yes"), "Yes", IF(AND(AN139="", AO139="", AP139=""), "No", "Incomplete"))</f>
        <v>No</v>
      </c>
      <c r="AT139" s="29" t="str">
        <f t="shared" si="18"/>
        <v>Vacant</v>
      </c>
      <c r="AU139" s="30"/>
      <c r="AV139" s="31"/>
      <c r="AW139" s="31"/>
      <c r="AX139" s="2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</row>
    <row r="140" spans="1:74" ht="28.5" x14ac:dyDescent="0.25">
      <c r="A140" s="25">
        <v>137</v>
      </c>
      <c r="B140" s="23" t="s">
        <v>490</v>
      </c>
      <c r="C140" s="23" t="s">
        <v>228</v>
      </c>
      <c r="D140" s="26" t="s">
        <v>491</v>
      </c>
      <c r="E140" s="23">
        <v>13</v>
      </c>
      <c r="F140" s="23" t="s">
        <v>131</v>
      </c>
      <c r="G140" s="23">
        <f>VLOOKUP(C140,[2]Sheet2!$T$3:$V$92,3,FALSE)</f>
        <v>21</v>
      </c>
      <c r="H140" s="23" t="s">
        <v>68</v>
      </c>
      <c r="I140" s="23" t="s">
        <v>55</v>
      </c>
      <c r="J140" s="23">
        <v>4</v>
      </c>
      <c r="K140" s="6">
        <v>0.73</v>
      </c>
      <c r="L140" s="23" t="s">
        <v>492</v>
      </c>
      <c r="M140" s="23"/>
      <c r="N140" s="23" t="s">
        <v>56</v>
      </c>
      <c r="O140" s="23" t="e">
        <f t="shared" ca="1" si="19"/>
        <v>#NAME?</v>
      </c>
      <c r="P140" s="23" t="s">
        <v>238</v>
      </c>
      <c r="Q140" s="23" t="s">
        <v>97</v>
      </c>
      <c r="R140" s="27">
        <v>35191</v>
      </c>
      <c r="S140" s="27">
        <v>45531</v>
      </c>
      <c r="T140" s="23">
        <v>10356346</v>
      </c>
      <c r="U140" s="28">
        <v>4410303098713</v>
      </c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 t="s">
        <v>39</v>
      </c>
      <c r="AN140" s="23" t="s">
        <v>58</v>
      </c>
      <c r="AO140" s="23"/>
      <c r="AP140" s="23"/>
      <c r="AQ140" s="23"/>
      <c r="AR140" s="23" t="s">
        <v>493</v>
      </c>
      <c r="AS140" s="23" t="str">
        <f>IF(AND(AN140="Yes", AO140="Yes"), "Yes", IF(AND(AN140="", AO140=""), "No", "Incomplete"))</f>
        <v>Incomplete</v>
      </c>
      <c r="AT140" s="29" t="str">
        <f t="shared" si="18"/>
        <v>Yes</v>
      </c>
      <c r="AU140" s="30"/>
      <c r="AV140" s="31" t="s">
        <v>64</v>
      </c>
      <c r="AW140" s="31" t="s">
        <v>59</v>
      </c>
      <c r="AX140" s="2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</row>
    <row r="141" spans="1:74" x14ac:dyDescent="0.25">
      <c r="A141" s="25">
        <v>138</v>
      </c>
      <c r="B141" s="23" t="s">
        <v>494</v>
      </c>
      <c r="C141" s="23" t="s">
        <v>228</v>
      </c>
      <c r="D141" s="26" t="s">
        <v>495</v>
      </c>
      <c r="E141" s="23">
        <v>11</v>
      </c>
      <c r="F141" s="23" t="s">
        <v>496</v>
      </c>
      <c r="G141" s="23">
        <f>VLOOKUP(C141,[2]Sheet2!$T$3:$V$92,3,FALSE)</f>
        <v>21</v>
      </c>
      <c r="H141" s="23" t="s">
        <v>68</v>
      </c>
      <c r="I141" s="23" t="s">
        <v>55</v>
      </c>
      <c r="J141" s="23"/>
      <c r="K141" s="6">
        <v>0</v>
      </c>
      <c r="L141" s="23"/>
      <c r="M141" s="23"/>
      <c r="N141" s="23"/>
      <c r="O141" s="23" t="e">
        <f>IF(DATEVALUE(MID(N141,15,10))-DATEVALUE(LEFT(N141,10))+1&gt;=365,"1 Year",
DATEDIF(DATEVALUE(LEFT(N141,10)),DATEVALUE(MID(N141,15,10)),"Y")&amp;" Years, "&amp;DATEDIF(DATEVALUE(LEFT(N141,10)),DATEVALUE(MID(N141,15,10)),"YM")&amp;" Months, "&amp;DATEDIF(DATEVALUE(LEFT(N141,10)),DATEVALUE(MID(N141,15,10)),"MD")&amp;" Days")</f>
        <v>#VALUE!</v>
      </c>
      <c r="P141" s="23"/>
      <c r="Q141" s="23"/>
      <c r="R141" s="27">
        <v>45148</v>
      </c>
      <c r="S141" s="27">
        <v>45148</v>
      </c>
      <c r="T141" s="23">
        <v>50750271</v>
      </c>
      <c r="U141" s="28">
        <v>4530271123887</v>
      </c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 t="s">
        <v>41</v>
      </c>
      <c r="AN141" s="32" t="s">
        <v>58</v>
      </c>
      <c r="AO141" s="32" t="s">
        <v>58</v>
      </c>
      <c r="AP141" s="32" t="s">
        <v>58</v>
      </c>
      <c r="AQ141" s="23"/>
      <c r="AR141" s="23"/>
      <c r="AS141" s="23" t="str">
        <f>IF(AND(AN141="Yes"), "Yes", IF(AND(AN141=""), "No", "Incomplete"))</f>
        <v>Yes</v>
      </c>
      <c r="AT141" s="29" t="str">
        <f t="shared" si="18"/>
        <v>Yes</v>
      </c>
      <c r="AU141" s="30"/>
      <c r="AV141" s="31"/>
      <c r="AW141" s="31"/>
      <c r="AX141" s="2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</row>
    <row r="142" spans="1:74" x14ac:dyDescent="0.25">
      <c r="A142" s="25">
        <v>139</v>
      </c>
      <c r="B142" s="23" t="s">
        <v>497</v>
      </c>
      <c r="C142" s="23" t="s">
        <v>220</v>
      </c>
      <c r="D142" s="26" t="s">
        <v>498</v>
      </c>
      <c r="E142" s="23">
        <v>11</v>
      </c>
      <c r="F142" s="23" t="s">
        <v>138</v>
      </c>
      <c r="G142" s="23">
        <f>VLOOKUP(C142,[2]Sheet2!$T$3:$V$92,3,FALSE)</f>
        <v>6</v>
      </c>
      <c r="H142" s="23" t="s">
        <v>68</v>
      </c>
      <c r="I142" s="23" t="s">
        <v>55</v>
      </c>
      <c r="J142" s="23"/>
      <c r="K142" s="6">
        <v>0</v>
      </c>
      <c r="L142" s="23"/>
      <c r="M142" s="23"/>
      <c r="N142" s="23"/>
      <c r="O142" s="23" t="e">
        <f>IF(DATEVALUE(MID(N142,15,10))-DATEVALUE(LEFT(N142,10))+1&gt;=365,"1 Year",
DATEDIF(DATEVALUE(LEFT(N142,10)),DATEVALUE(MID(N142,15,10)),"Y")&amp;" Years, "&amp;DATEDIF(DATEVALUE(LEFT(N142,10)),DATEVALUE(MID(N142,15,10)),"YM")&amp;" Months, "&amp;DATEDIF(DATEVALUE(LEFT(N142,10)),DATEVALUE(MID(N142,15,10)),"MD")&amp;" Days")</f>
        <v>#VALUE!</v>
      </c>
      <c r="P142" s="23"/>
      <c r="Q142" s="23"/>
      <c r="R142" s="27"/>
      <c r="S142" s="27"/>
      <c r="T142" s="23"/>
      <c r="U142" s="28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 t="s">
        <v>40</v>
      </c>
      <c r="AN142" s="32" t="s">
        <v>58</v>
      </c>
      <c r="AO142" s="39" t="s">
        <v>58</v>
      </c>
      <c r="AP142" s="23"/>
      <c r="AQ142" s="23"/>
      <c r="AR142" s="23"/>
      <c r="AS142" s="23" t="str">
        <f>IF(AND(AN142="Yes"), "Yes", IF(AND(AN142=""), "No", "Incomplete"))</f>
        <v>Yes</v>
      </c>
      <c r="AT142" s="29" t="str">
        <f t="shared" si="18"/>
        <v>Yes</v>
      </c>
      <c r="AU142" s="30"/>
      <c r="AV142" s="31"/>
      <c r="AW142" s="31"/>
      <c r="AX142" s="2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</row>
    <row r="143" spans="1:74" x14ac:dyDescent="0.25">
      <c r="A143" s="25">
        <v>132</v>
      </c>
      <c r="B143" s="23" t="s">
        <v>499</v>
      </c>
      <c r="C143" s="23" t="s">
        <v>463</v>
      </c>
      <c r="D143" s="26" t="s">
        <v>110</v>
      </c>
      <c r="E143" s="23">
        <v>2</v>
      </c>
      <c r="F143" s="23" t="s">
        <v>71</v>
      </c>
      <c r="G143" s="23">
        <f>VLOOKUP(C143,[2]Sheet2!$T$3:$V$92,3,FALSE)</f>
        <v>20</v>
      </c>
      <c r="H143" s="23" t="s">
        <v>68</v>
      </c>
      <c r="I143" s="23" t="s">
        <v>55</v>
      </c>
      <c r="J143" s="23">
        <v>2</v>
      </c>
      <c r="K143" s="6">
        <v>0.7</v>
      </c>
      <c r="L143" s="23" t="s">
        <v>500</v>
      </c>
      <c r="M143" s="23"/>
      <c r="N143" s="23"/>
      <c r="O143" s="23" t="str">
        <f>IF(ISNUMBER(SEARCH("to", N143)),
_xlfn.LET(
    _xlpm.text_n3, N143,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143" s="23"/>
      <c r="Q143" s="23"/>
      <c r="R143" s="27"/>
      <c r="S143" s="27"/>
      <c r="T143" s="23">
        <v>50746209</v>
      </c>
      <c r="U143" s="28">
        <v>4210119766167</v>
      </c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 t="s">
        <v>40</v>
      </c>
      <c r="AN143" s="23"/>
      <c r="AO143" s="32" t="s">
        <v>58</v>
      </c>
      <c r="AP143" s="23"/>
      <c r="AQ143" s="23"/>
      <c r="AR143" s="23"/>
      <c r="AS143" s="23" t="str">
        <f>IF(AND(AN143="Yes"), "Yes", IF(AND(AN143=""), "No", "Incomplete"))</f>
        <v>No</v>
      </c>
      <c r="AT143" s="29" t="str">
        <f t="shared" si="18"/>
        <v>Yes</v>
      </c>
      <c r="AU143" s="30"/>
      <c r="AV143" s="31"/>
      <c r="AW143" s="31" t="s">
        <v>59</v>
      </c>
      <c r="AX143" s="2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</row>
    <row r="144" spans="1:74" x14ac:dyDescent="0.25">
      <c r="A144" s="25">
        <v>141</v>
      </c>
      <c r="B144" s="23" t="s">
        <v>501</v>
      </c>
      <c r="C144" s="23" t="s">
        <v>502</v>
      </c>
      <c r="D144" s="45" t="s">
        <v>503</v>
      </c>
      <c r="E144" s="23">
        <v>19</v>
      </c>
      <c r="F144" s="23" t="s">
        <v>504</v>
      </c>
      <c r="G144" s="23">
        <f>VLOOKUP(C144,[2]Sheet2!$T$3:$V$92,3,FALSE)</f>
        <v>22</v>
      </c>
      <c r="H144" s="23" t="s">
        <v>54</v>
      </c>
      <c r="I144" s="23" t="s">
        <v>55</v>
      </c>
      <c r="J144" s="23"/>
      <c r="L144" s="23"/>
      <c r="M144" s="23"/>
      <c r="N144" s="23" t="s">
        <v>56</v>
      </c>
      <c r="O144" s="23" t="e">
        <f ca="1">IF(ISNUMBER(SEARCH("to", N144)),
_xlfn.LET(
    _xlpm.text_n3, N144,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144" s="23"/>
      <c r="Q144" s="23" t="s">
        <v>505</v>
      </c>
      <c r="R144" s="27"/>
      <c r="S144" s="27"/>
      <c r="T144" s="23"/>
      <c r="U144" s="28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 t="s">
        <v>41</v>
      </c>
      <c r="AN144" s="32" t="s">
        <v>58</v>
      </c>
      <c r="AO144" s="32" t="s">
        <v>58</v>
      </c>
      <c r="AP144" s="32" t="s">
        <v>58</v>
      </c>
      <c r="AQ144" s="23"/>
      <c r="AR144" s="23"/>
      <c r="AS144" s="23" t="str">
        <f>IF(AND(AN144="Yes", AO144="Yes", AP144="Yes"), "Yes", IF(AND(AN144="", AO144="", AP144=""), "No", "Incomplete"))</f>
        <v>Yes</v>
      </c>
      <c r="AT144" s="29" t="str">
        <f t="shared" si="18"/>
        <v>Yes</v>
      </c>
      <c r="AU144" s="30"/>
      <c r="AV144" s="31"/>
      <c r="AW144" s="31" t="s">
        <v>59</v>
      </c>
      <c r="AX144" s="2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</row>
    <row r="145" spans="1:74" x14ac:dyDescent="0.25">
      <c r="A145" s="25">
        <v>142</v>
      </c>
      <c r="B145" s="23" t="s">
        <v>506</v>
      </c>
      <c r="C145" s="23" t="s">
        <v>502</v>
      </c>
      <c r="D145" s="45" t="s">
        <v>507</v>
      </c>
      <c r="E145" s="23">
        <v>18</v>
      </c>
      <c r="F145" s="23" t="s">
        <v>508</v>
      </c>
      <c r="G145" s="23">
        <f>VLOOKUP(C145,[2]Sheet2!$T$3:$V$92,3,FALSE)</f>
        <v>22</v>
      </c>
      <c r="H145" s="23" t="s">
        <v>54</v>
      </c>
      <c r="I145" s="23" t="s">
        <v>55</v>
      </c>
      <c r="J145" s="23"/>
      <c r="L145" s="23"/>
      <c r="M145" s="23"/>
      <c r="N145" s="23"/>
      <c r="O145" s="23" t="str">
        <f>IF(ISNUMBER(SEARCH("to", N145)),
_xlfn.LET(
    _xlpm.text_n3, N145,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145" s="23"/>
      <c r="Q145" s="23"/>
      <c r="R145" s="27"/>
      <c r="S145" s="27"/>
      <c r="T145" s="23">
        <v>50151577</v>
      </c>
      <c r="U145" s="28">
        <v>4230189356513</v>
      </c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 t="s">
        <v>42</v>
      </c>
      <c r="AN145" s="23" t="s">
        <v>58</v>
      </c>
      <c r="AO145" s="23" t="s">
        <v>58</v>
      </c>
      <c r="AP145" s="23" t="s">
        <v>58</v>
      </c>
      <c r="AQ145" s="23" t="s">
        <v>58</v>
      </c>
      <c r="AR145" s="23"/>
      <c r="AS145" s="23" t="str">
        <f>IF(AND(AN145="Yes", AO145="Yes", AP145="Yes"), "Yes", IF(AND(AN145="", AO145="", AP145=""), "No", "Incomplete"))</f>
        <v>Yes</v>
      </c>
      <c r="AT145" s="29" t="str">
        <f t="shared" si="18"/>
        <v>Yes</v>
      </c>
      <c r="AU145" s="30"/>
      <c r="AV145" s="31"/>
      <c r="AW145" s="31" t="s">
        <v>59</v>
      </c>
      <c r="AX145" s="2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</row>
    <row r="146" spans="1:74" x14ac:dyDescent="0.25">
      <c r="A146" s="25">
        <v>143</v>
      </c>
      <c r="B146" s="23" t="s">
        <v>509</v>
      </c>
      <c r="C146" s="23" t="s">
        <v>502</v>
      </c>
      <c r="D146" s="26" t="s">
        <v>510</v>
      </c>
      <c r="E146" s="23">
        <v>17</v>
      </c>
      <c r="F146" s="23" t="s">
        <v>511</v>
      </c>
      <c r="G146" s="23">
        <f>VLOOKUP(C146,[2]Sheet2!$T$3:$V$92,3,FALSE)</f>
        <v>22</v>
      </c>
      <c r="H146" s="23" t="s">
        <v>54</v>
      </c>
      <c r="I146" s="23" t="s">
        <v>55</v>
      </c>
      <c r="J146" s="23"/>
      <c r="L146" s="23"/>
      <c r="M146" s="23"/>
      <c r="N146" s="23" t="s">
        <v>56</v>
      </c>
      <c r="O146" s="23" t="e">
        <f ca="1">IF(ISNUMBER(SEARCH("to", N146)),
_xlfn.LET(
    _xlpm.text_n3, N146,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146" s="23"/>
      <c r="Q146" s="23" t="s">
        <v>57</v>
      </c>
      <c r="R146" s="27"/>
      <c r="S146" s="27"/>
      <c r="T146" s="23"/>
      <c r="U146" s="28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 t="s">
        <v>41</v>
      </c>
      <c r="AN146" s="23"/>
      <c r="AO146" s="23"/>
      <c r="AP146" s="32" t="s">
        <v>58</v>
      </c>
      <c r="AQ146" s="23"/>
      <c r="AR146" s="23" t="s">
        <v>122</v>
      </c>
      <c r="AS146" s="23" t="str">
        <f>IF(AND(AN146="Yes", AO146="Yes", AP146="Yes"), "Yes", IF(AND(AN146="", AO146="", AP146=""), "No", "Incomplete"))</f>
        <v>Incomplete</v>
      </c>
      <c r="AT146" s="29" t="str">
        <f t="shared" si="18"/>
        <v>Yes</v>
      </c>
      <c r="AU146" s="30"/>
      <c r="AV146" s="31"/>
      <c r="AW146" s="31" t="s">
        <v>59</v>
      </c>
      <c r="AX146" s="2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</row>
    <row r="147" spans="1:74" ht="28.5" x14ac:dyDescent="0.25">
      <c r="A147" s="25">
        <v>144</v>
      </c>
      <c r="B147" s="23" t="s">
        <v>512</v>
      </c>
      <c r="C147" s="23" t="s">
        <v>502</v>
      </c>
      <c r="D147" s="26" t="s">
        <v>513</v>
      </c>
      <c r="E147" s="23">
        <v>16</v>
      </c>
      <c r="F147" s="23" t="s">
        <v>67</v>
      </c>
      <c r="G147" s="23">
        <f>VLOOKUP(C147,[2]Sheet2!$T$3:$V$92,3,FALSE)</f>
        <v>22</v>
      </c>
      <c r="H147" s="23" t="s">
        <v>68</v>
      </c>
      <c r="I147" s="23" t="s">
        <v>55</v>
      </c>
      <c r="J147" s="23">
        <v>2</v>
      </c>
      <c r="K147" s="6">
        <v>0.79</v>
      </c>
      <c r="L147" s="23" t="s">
        <v>514</v>
      </c>
      <c r="M147" s="23"/>
      <c r="N147" s="23" t="s">
        <v>95</v>
      </c>
      <c r="O147" s="23" t="str">
        <f>IF(DATEVALUE(MID(N147,15,10))-DATEVALUE(LEFT(N147,10))+1&gt;=365,"1 Year",
DATEDIF(DATEVALUE(LEFT(N147,10)),DATEVALUE(MID(N147,15,10)),"Y")&amp;" Years, "&amp;DATEDIF(DATEVALUE(LEFT(N147,10)),DATEVALUE(MID(N147,15,10)),"YM")&amp;" Months, "&amp;DATEDIF(DATEVALUE(LEFT(N147,10)),DATEVALUE(MID(N147,15,10)),"MD")&amp;" Days")</f>
        <v>1 Year</v>
      </c>
      <c r="P147" s="23" t="s">
        <v>515</v>
      </c>
      <c r="Q147" s="23" t="s">
        <v>97</v>
      </c>
      <c r="R147" s="27" t="s">
        <v>285</v>
      </c>
      <c r="S147" s="27">
        <v>45559</v>
      </c>
      <c r="T147" s="23">
        <v>50699245</v>
      </c>
      <c r="U147" s="28">
        <v>4520361732419</v>
      </c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 t="s">
        <v>42</v>
      </c>
      <c r="AN147" s="32" t="s">
        <v>58</v>
      </c>
      <c r="AO147" s="32" t="s">
        <v>58</v>
      </c>
      <c r="AP147" s="23" t="s">
        <v>58</v>
      </c>
      <c r="AQ147" s="23" t="s">
        <v>58</v>
      </c>
      <c r="AR147" s="23"/>
      <c r="AS147" s="23" t="str">
        <f>IF(AND(AN147="Yes", AO147="Yes", AP147="Yes"), "Yes", IF(AND(AN147="", AO147="", AP147=""), "No", "Incomplete"))</f>
        <v>Yes</v>
      </c>
      <c r="AT147" s="29" t="str">
        <f t="shared" si="18"/>
        <v>Yes</v>
      </c>
      <c r="AU147" s="30"/>
      <c r="AV147" s="31"/>
      <c r="AW147" s="31"/>
      <c r="AX147" s="2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</row>
    <row r="148" spans="1:74" x14ac:dyDescent="0.25">
      <c r="A148" s="25">
        <v>145</v>
      </c>
      <c r="B148" s="23" t="s">
        <v>516</v>
      </c>
      <c r="C148" s="23" t="s">
        <v>502</v>
      </c>
      <c r="D148" s="26" t="s">
        <v>517</v>
      </c>
      <c r="E148" s="23">
        <v>15</v>
      </c>
      <c r="F148" s="23" t="s">
        <v>126</v>
      </c>
      <c r="G148" s="23">
        <f>VLOOKUP(C148,[2]Sheet2!$T$3:$V$92,3,FALSE)</f>
        <v>22</v>
      </c>
      <c r="H148" s="23" t="s">
        <v>68</v>
      </c>
      <c r="I148" s="23" t="s">
        <v>55</v>
      </c>
      <c r="J148" s="23">
        <v>2</v>
      </c>
      <c r="K148" s="6">
        <v>0.78</v>
      </c>
      <c r="L148" s="23" t="s">
        <v>518</v>
      </c>
      <c r="M148" s="23"/>
      <c r="N148" s="23"/>
      <c r="O148" s="23" t="e">
        <f>IF(DATEVALUE(MID(N148,15,10))-DATEVALUE(LEFT(N148,10))+1&gt;=365,"1 Year",
DATEDIF(DATEVALUE(LEFT(N148,10)),DATEVALUE(MID(N148,15,10)),"Y")&amp;" Years, "&amp;DATEDIF(DATEVALUE(LEFT(N148,10)),DATEVALUE(MID(N148,15,10)),"YM")&amp;" Months, "&amp;DATEDIF(DATEVALUE(LEFT(N148,10)),DATEVALUE(MID(N148,15,10)),"MD")&amp;" Days")</f>
        <v>#VALUE!</v>
      </c>
      <c r="P148" s="23"/>
      <c r="Q148" s="23"/>
      <c r="R148" s="27">
        <v>42338</v>
      </c>
      <c r="S148" s="27">
        <v>44618</v>
      </c>
      <c r="T148" s="23">
        <v>50256667</v>
      </c>
      <c r="U148" s="28">
        <v>4340204366563</v>
      </c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 t="s">
        <v>41</v>
      </c>
      <c r="AN148" s="32" t="s">
        <v>58</v>
      </c>
      <c r="AO148" s="32" t="s">
        <v>58</v>
      </c>
      <c r="AP148" s="32" t="s">
        <v>58</v>
      </c>
      <c r="AQ148" s="23"/>
      <c r="AR148" s="23" t="s">
        <v>58</v>
      </c>
      <c r="AS148" s="23" t="str">
        <f>IF(AND(AN148="Yes", AO148="Yes", AP148="Yes"), "Yes", IF(AND(AN148="", AO148="", AP148=""), "No", "Incomplete"))</f>
        <v>Yes</v>
      </c>
      <c r="AT148" s="29" t="str">
        <f t="shared" si="18"/>
        <v>Yes</v>
      </c>
      <c r="AU148" s="30"/>
      <c r="AV148" s="31"/>
      <c r="AW148" s="31"/>
      <c r="AX148" s="2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</row>
    <row r="149" spans="1:74" ht="57" x14ac:dyDescent="0.25">
      <c r="A149" s="25">
        <v>146</v>
      </c>
      <c r="B149" s="23" t="s">
        <v>519</v>
      </c>
      <c r="C149" s="23" t="s">
        <v>502</v>
      </c>
      <c r="D149" s="26" t="s">
        <v>520</v>
      </c>
      <c r="E149" s="23">
        <v>13</v>
      </c>
      <c r="F149" s="23" t="s">
        <v>131</v>
      </c>
      <c r="G149" s="23">
        <f>VLOOKUP(C149,[2]Sheet2!$T$3:$V$92,3,FALSE)</f>
        <v>22</v>
      </c>
      <c r="H149" s="23" t="s">
        <v>68</v>
      </c>
      <c r="I149" s="23" t="s">
        <v>55</v>
      </c>
      <c r="J149" s="23">
        <v>1</v>
      </c>
      <c r="K149" s="6">
        <v>0.79</v>
      </c>
      <c r="L149" s="23" t="s">
        <v>521</v>
      </c>
      <c r="M149" s="23"/>
      <c r="N149" s="23" t="s">
        <v>522</v>
      </c>
      <c r="O149" s="23" t="str">
        <f>IF(DATEVALUE(MID(N149,15,10))-DATEVALUE(LEFT(N149,10))+1&gt;=365,"1 Year",
DATEDIF(DATEVALUE(LEFT(N149,10)),DATEVALUE(MID(N149,15,10)),"Y")&amp;" Years, "&amp;DATEDIF(DATEVALUE(LEFT(N149,10)),DATEVALUE(MID(N149,15,10)),"YM")&amp;" Months, "&amp;DATEDIF(DATEVALUE(LEFT(N149,10)),DATEVALUE(MID(N149,15,10)),"MD")&amp;" Days")</f>
        <v>0 Years, 6 Months, 30 Days</v>
      </c>
      <c r="P149" s="23" t="s">
        <v>523</v>
      </c>
      <c r="Q149" s="23" t="s">
        <v>97</v>
      </c>
      <c r="R149" s="27">
        <v>42079</v>
      </c>
      <c r="S149" s="27">
        <v>45142</v>
      </c>
      <c r="T149" s="23">
        <v>50699270</v>
      </c>
      <c r="U149" s="28">
        <v>4120541756665</v>
      </c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 t="s">
        <v>42</v>
      </c>
      <c r="AN149" s="32" t="s">
        <v>58</v>
      </c>
      <c r="AO149" s="32" t="s">
        <v>58</v>
      </c>
      <c r="AP149" s="32" t="s">
        <v>58</v>
      </c>
      <c r="AQ149" s="32" t="s">
        <v>58</v>
      </c>
      <c r="AR149" s="23"/>
      <c r="AS149" s="23" t="str">
        <f>IF(AND(AN149="Yes", AO149="Yes"), "Yes", IF(AND(AN149="", AO149=""), "No", "Incomplete"))</f>
        <v>Yes</v>
      </c>
      <c r="AT149" s="29" t="str">
        <f t="shared" si="18"/>
        <v>Yes</v>
      </c>
      <c r="AU149" s="30"/>
      <c r="AV149" s="31"/>
      <c r="AW149" s="31"/>
      <c r="AX149" s="2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</row>
    <row r="150" spans="1:74" ht="28.5" x14ac:dyDescent="0.25">
      <c r="A150" s="25">
        <v>147</v>
      </c>
      <c r="B150" s="23" t="s">
        <v>524</v>
      </c>
      <c r="C150" s="23" t="s">
        <v>502</v>
      </c>
      <c r="D150" s="26" t="s">
        <v>525</v>
      </c>
      <c r="E150" s="23">
        <v>11</v>
      </c>
      <c r="F150" s="23" t="s">
        <v>138</v>
      </c>
      <c r="G150" s="23">
        <f>VLOOKUP(C150,[2]Sheet2!$T$3:$V$92,3,FALSE)</f>
        <v>22</v>
      </c>
      <c r="H150" s="23" t="s">
        <v>68</v>
      </c>
      <c r="I150" s="23" t="s">
        <v>55</v>
      </c>
      <c r="J150" s="23">
        <v>2</v>
      </c>
      <c r="K150" s="6">
        <v>0.72</v>
      </c>
      <c r="L150" s="23" t="s">
        <v>526</v>
      </c>
      <c r="M150" s="23"/>
      <c r="N150" s="23" t="s">
        <v>95</v>
      </c>
      <c r="O150" s="23" t="str">
        <f>IF(DATEVALUE(MID(N150,15,10))-DATEVALUE(LEFT(N150,10))+1&gt;=365,"1 Year",
DATEDIF(DATEVALUE(LEFT(N150,10)),DATEVALUE(MID(N150,15,10)),"Y")&amp;" Years, "&amp;DATEDIF(DATEVALUE(LEFT(N150,10)),DATEVALUE(MID(N150,15,10)),"YM")&amp;" Months, "&amp;DATEDIF(DATEVALUE(LEFT(N150,10)),DATEVALUE(MID(N150,15,10)),"MD")&amp;" Days")</f>
        <v>1 Year</v>
      </c>
      <c r="P150" s="23" t="s">
        <v>515</v>
      </c>
      <c r="Q150" s="23" t="s">
        <v>97</v>
      </c>
      <c r="R150" s="27">
        <v>44142</v>
      </c>
      <c r="S150" s="27">
        <v>44142</v>
      </c>
      <c r="T150" s="23">
        <v>50336266</v>
      </c>
      <c r="U150" s="28">
        <v>4230139618519</v>
      </c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 t="s">
        <v>41</v>
      </c>
      <c r="AN150" s="32" t="s">
        <v>58</v>
      </c>
      <c r="AO150" s="32" t="s">
        <v>58</v>
      </c>
      <c r="AP150" s="32" t="s">
        <v>58</v>
      </c>
      <c r="AQ150" s="23"/>
      <c r="AR150" s="23"/>
      <c r="AS150" s="23" t="str">
        <f>IF(AND(AN150="Yes"), "Yes", IF(AND(AN150=""), "No", "Incomplete"))</f>
        <v>Yes</v>
      </c>
      <c r="AT150" s="29" t="str">
        <f t="shared" si="18"/>
        <v>Yes</v>
      </c>
      <c r="AU150" s="30"/>
      <c r="AV150" s="31" t="s">
        <v>64</v>
      </c>
      <c r="AW150" s="31"/>
      <c r="AX150" s="2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</row>
    <row r="151" spans="1:74" x14ac:dyDescent="0.25">
      <c r="A151" s="25">
        <v>41</v>
      </c>
      <c r="B151" s="23" t="s">
        <v>527</v>
      </c>
      <c r="C151" s="23" t="s">
        <v>228</v>
      </c>
      <c r="D151" s="26" t="s">
        <v>528</v>
      </c>
      <c r="E151" s="23">
        <v>4</v>
      </c>
      <c r="F151" s="23" t="s">
        <v>71</v>
      </c>
      <c r="G151" s="23">
        <f>VLOOKUP(C151,[2]Sheet2!$T$3:$V$92,3,FALSE)</f>
        <v>21</v>
      </c>
      <c r="H151" s="23" t="s">
        <v>68</v>
      </c>
      <c r="I151" s="23" t="s">
        <v>55</v>
      </c>
      <c r="J151" s="23">
        <v>2</v>
      </c>
      <c r="K151" s="6">
        <v>0.7</v>
      </c>
      <c r="L151" s="23" t="s">
        <v>529</v>
      </c>
      <c r="M151" s="23"/>
      <c r="N151" s="23"/>
      <c r="O151" s="23" t="str">
        <f>IF(ISNUMBER(SEARCH("to", N151)),
_xlfn.LET(
    _xlpm.text_n3, N151,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151" s="23"/>
      <c r="Q151" s="23"/>
      <c r="R151" s="27">
        <v>43056</v>
      </c>
      <c r="S151" s="27">
        <v>45880</v>
      </c>
      <c r="T151" s="23">
        <v>50376219</v>
      </c>
      <c r="U151" s="28">
        <v>4230183820235</v>
      </c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 t="s">
        <v>39</v>
      </c>
      <c r="AN151" s="32" t="s">
        <v>58</v>
      </c>
      <c r="AO151" s="23"/>
      <c r="AP151" s="23"/>
      <c r="AQ151" s="23"/>
      <c r="AR151" s="23"/>
      <c r="AS151" s="23" t="str">
        <f>IF(AND(AN151="Yes"), "Yes", IF(AND(AN151=""), "No", "Incomplete"))</f>
        <v>Yes</v>
      </c>
      <c r="AT151" s="29" t="str">
        <f t="shared" si="18"/>
        <v>Yes</v>
      </c>
      <c r="AU151" s="30"/>
      <c r="AV151" s="31" t="s">
        <v>64</v>
      </c>
      <c r="AW151" s="31"/>
      <c r="AX151" s="2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</row>
    <row r="152" spans="1:74" x14ac:dyDescent="0.25">
      <c r="A152" s="25">
        <v>149</v>
      </c>
      <c r="B152" s="23" t="s">
        <v>530</v>
      </c>
      <c r="C152" s="23" t="s">
        <v>531</v>
      </c>
      <c r="D152" s="45" t="s">
        <v>532</v>
      </c>
      <c r="E152" s="23">
        <v>19</v>
      </c>
      <c r="F152" s="23" t="s">
        <v>533</v>
      </c>
      <c r="G152" s="23">
        <f>VLOOKUP(C152,[2]Sheet2!$T$3:$V$92,3,FALSE)</f>
        <v>23</v>
      </c>
      <c r="H152" s="23" t="s">
        <v>54</v>
      </c>
      <c r="I152" s="23" t="s">
        <v>55</v>
      </c>
      <c r="J152" s="23"/>
      <c r="L152" s="23"/>
      <c r="M152" s="23"/>
      <c r="N152" s="23"/>
      <c r="O152" s="23" t="str">
        <f>IF(ISNUMBER(SEARCH("to", N152)),
_xlfn.LET(
    _xlpm.text_n3, N152,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152" s="23"/>
      <c r="Q152" s="23"/>
      <c r="R152" s="27"/>
      <c r="S152" s="27"/>
      <c r="T152" s="23">
        <v>20061189</v>
      </c>
      <c r="U152" s="28">
        <v>5440005494479</v>
      </c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 t="s">
        <v>42</v>
      </c>
      <c r="AN152" s="32" t="s">
        <v>58</v>
      </c>
      <c r="AO152" s="32" t="s">
        <v>58</v>
      </c>
      <c r="AP152" s="32" t="s">
        <v>58</v>
      </c>
      <c r="AQ152" s="23" t="s">
        <v>121</v>
      </c>
      <c r="AR152" s="23"/>
      <c r="AS152" s="23" t="str">
        <f>IF(AND(AN152="Yes", AO152="Yes", AP152="Yes"), "Yes", IF(AND(AN152="", AO152="", AP152=""), "No", "Incomplete"))</f>
        <v>Yes</v>
      </c>
      <c r="AT152" s="29" t="str">
        <f t="shared" si="18"/>
        <v>Under Process</v>
      </c>
      <c r="AU152" s="30"/>
      <c r="AV152" s="31"/>
      <c r="AW152" s="31" t="s">
        <v>59</v>
      </c>
      <c r="AX152" s="2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</row>
    <row r="153" spans="1:74" x14ac:dyDescent="0.25">
      <c r="A153" s="25">
        <v>151</v>
      </c>
      <c r="B153" s="23" t="s">
        <v>534</v>
      </c>
      <c r="C153" s="23" t="s">
        <v>531</v>
      </c>
      <c r="D153" s="45" t="s">
        <v>535</v>
      </c>
      <c r="E153" s="23">
        <v>18</v>
      </c>
      <c r="F153" s="23" t="s">
        <v>536</v>
      </c>
      <c r="G153" s="23">
        <f>VLOOKUP(C153,[2]Sheet2!$T$3:$V$92,3,FALSE)</f>
        <v>23</v>
      </c>
      <c r="H153" s="23" t="s">
        <v>54</v>
      </c>
      <c r="I153" s="23" t="s">
        <v>55</v>
      </c>
      <c r="J153" s="23"/>
      <c r="L153" s="23"/>
      <c r="M153" s="23"/>
      <c r="N153" s="23"/>
      <c r="O153" s="23" t="str">
        <f>IF(ISNUMBER(SEARCH("to", N153)),
_xlfn.LET(
    _xlpm.text_n3, N153,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153" s="23"/>
      <c r="Q153" s="23"/>
      <c r="R153" s="27"/>
      <c r="S153" s="27"/>
      <c r="T153" s="23">
        <v>10414220</v>
      </c>
      <c r="U153" s="28">
        <v>4220190288319</v>
      </c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 t="s">
        <v>42</v>
      </c>
      <c r="AN153" s="23" t="s">
        <v>58</v>
      </c>
      <c r="AO153" s="23" t="s">
        <v>58</v>
      </c>
      <c r="AP153" s="23" t="s">
        <v>58</v>
      </c>
      <c r="AQ153" s="23" t="s">
        <v>58</v>
      </c>
      <c r="AR153" s="23"/>
      <c r="AS153" s="23" t="str">
        <f>IF(AND(AN153="Yes", AO153="Yes", AP153="Yes"), "Yes", IF(AND(AN153="", AO153="", AP153=""), "No", "Incomplete"))</f>
        <v>Yes</v>
      </c>
      <c r="AT153" s="29" t="str">
        <f t="shared" si="18"/>
        <v>Yes</v>
      </c>
      <c r="AU153" s="30"/>
      <c r="AV153" s="31"/>
      <c r="AW153" s="31" t="s">
        <v>59</v>
      </c>
      <c r="AX153" s="2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</row>
    <row r="154" spans="1:74" x14ac:dyDescent="0.25">
      <c r="A154" s="25">
        <v>152</v>
      </c>
      <c r="B154" s="23" t="s">
        <v>537</v>
      </c>
      <c r="C154" s="23" t="s">
        <v>531</v>
      </c>
      <c r="D154" s="26" t="s">
        <v>66</v>
      </c>
      <c r="E154" s="23">
        <v>18</v>
      </c>
      <c r="F154" s="23" t="s">
        <v>538</v>
      </c>
      <c r="G154" s="23">
        <f>VLOOKUP(C154,[2]Sheet2!$T$3:$V$92,3,FALSE)</f>
        <v>23</v>
      </c>
      <c r="H154" s="23" t="s">
        <v>54</v>
      </c>
      <c r="I154" s="23" t="s">
        <v>55</v>
      </c>
      <c r="J154" s="23"/>
      <c r="L154" s="23"/>
      <c r="M154" s="23"/>
      <c r="N154" s="23"/>
      <c r="O154" s="23" t="str">
        <f>IF(ISNUMBER(SEARCH("to", N154)),
_xlfn.LET(
    _xlpm.first_line, LEFT(N154, IFERROR(SEARCH(CHAR(10), N154)-1, LEN(N154))),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154" s="23"/>
      <c r="Q154" s="23"/>
      <c r="R154" s="27"/>
      <c r="S154" s="27"/>
      <c r="T154" s="23"/>
      <c r="U154" s="28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 t="s">
        <v>66</v>
      </c>
      <c r="AN154" s="23"/>
      <c r="AO154" s="23"/>
      <c r="AP154" s="23"/>
      <c r="AQ154" s="23"/>
      <c r="AR154" s="23"/>
      <c r="AS154" s="23" t="str">
        <f>IF(AND(AN154="Yes", AO154="Yes", AP154="Yes"), "Yes", IF(AND(AN154="", AO154="", AP154=""), "No", "Incomplete"))</f>
        <v>No</v>
      </c>
      <c r="AT154" s="29" t="str">
        <f t="shared" si="18"/>
        <v>Vacant</v>
      </c>
      <c r="AU154" s="30"/>
      <c r="AV154" s="31"/>
      <c r="AW154" s="31"/>
      <c r="AX154" s="2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</row>
    <row r="155" spans="1:74" x14ac:dyDescent="0.25">
      <c r="A155" s="25">
        <v>153</v>
      </c>
      <c r="B155" s="23" t="s">
        <v>539</v>
      </c>
      <c r="C155" s="23" t="s">
        <v>531</v>
      </c>
      <c r="D155" s="26" t="s">
        <v>540</v>
      </c>
      <c r="E155" s="23">
        <v>17</v>
      </c>
      <c r="F155" s="23" t="s">
        <v>541</v>
      </c>
      <c r="G155" s="23">
        <f>VLOOKUP(C155,[2]Sheet2!$T$3:$V$92,3,FALSE)</f>
        <v>23</v>
      </c>
      <c r="H155" s="23" t="s">
        <v>54</v>
      </c>
      <c r="I155" s="23" t="s">
        <v>55</v>
      </c>
      <c r="J155" s="23"/>
      <c r="L155" s="23"/>
      <c r="M155" s="23"/>
      <c r="N155" s="23"/>
      <c r="O155" s="23" t="str">
        <f>IF(ISNUMBER(SEARCH("to", N155)),
_xlfn.LET(
    _xlpm.text_n3, N155,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155" s="23"/>
      <c r="Q155" s="23"/>
      <c r="R155" s="27"/>
      <c r="S155" s="27"/>
      <c r="T155" s="23">
        <v>30874940</v>
      </c>
      <c r="U155" s="28">
        <v>3740569817527</v>
      </c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 t="s">
        <v>41</v>
      </c>
      <c r="AN155" s="32" t="s">
        <v>58</v>
      </c>
      <c r="AO155" s="32" t="s">
        <v>58</v>
      </c>
      <c r="AP155" s="32" t="s">
        <v>58</v>
      </c>
      <c r="AQ155" s="23"/>
      <c r="AR155" s="23"/>
      <c r="AS155" s="23" t="str">
        <f>IF(AND(AN155="Yes", AO155="Yes", AP155="Yes"), "Yes", IF(AND(AN155="", AO155="", AP155=""), "No", "Incomplete"))</f>
        <v>Yes</v>
      </c>
      <c r="AT155" s="29" t="str">
        <f t="shared" si="18"/>
        <v>Yes</v>
      </c>
      <c r="AU155" s="30"/>
      <c r="AV155" s="31"/>
      <c r="AW155" s="31" t="s">
        <v>59</v>
      </c>
      <c r="AX155" s="2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</row>
    <row r="156" spans="1:74" x14ac:dyDescent="0.25">
      <c r="A156" s="25">
        <v>154</v>
      </c>
      <c r="B156" s="23" t="s">
        <v>542</v>
      </c>
      <c r="C156" s="23" t="s">
        <v>531</v>
      </c>
      <c r="D156" s="26" t="s">
        <v>543</v>
      </c>
      <c r="E156" s="23">
        <v>15</v>
      </c>
      <c r="F156" s="23" t="s">
        <v>108</v>
      </c>
      <c r="G156" s="23">
        <f>VLOOKUP(C156,[2]Sheet2!$T$3:$V$92,3,FALSE)</f>
        <v>23</v>
      </c>
      <c r="H156" s="23" t="s">
        <v>68</v>
      </c>
      <c r="I156" s="23" t="s">
        <v>55</v>
      </c>
      <c r="J156" s="23">
        <v>2</v>
      </c>
      <c r="K156" s="6">
        <v>0.78</v>
      </c>
      <c r="L156" s="23" t="s">
        <v>544</v>
      </c>
      <c r="M156" s="23"/>
      <c r="N156" s="23"/>
      <c r="O156" s="23" t="e">
        <f>IF(DATEVALUE(MID(N156,15,10))-DATEVALUE(LEFT(N156,10))+1&gt;=365,"1 Year",
DATEDIF(DATEVALUE(LEFT(N156,10)),DATEVALUE(MID(N156,15,10)),"Y")&amp;" Years, "&amp;DATEDIF(DATEVALUE(LEFT(N156,10)),DATEVALUE(MID(N156,15,10)),"YM")&amp;" Months, "&amp;DATEDIF(DATEVALUE(LEFT(N156,10)),DATEVALUE(MID(N156,15,10)),"MD")&amp;" Days")</f>
        <v>#VALUE!</v>
      </c>
      <c r="P156" s="23"/>
      <c r="Q156" s="23"/>
      <c r="R156" s="27">
        <v>37779</v>
      </c>
      <c r="S156" s="27">
        <v>37779</v>
      </c>
      <c r="T156" s="23">
        <v>10112745</v>
      </c>
      <c r="U156" s="28">
        <v>4210101503819</v>
      </c>
      <c r="V156" s="23"/>
      <c r="W156" s="23" t="s">
        <v>545</v>
      </c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 t="s">
        <v>41</v>
      </c>
      <c r="AN156" s="32" t="s">
        <v>58</v>
      </c>
      <c r="AO156" s="32" t="s">
        <v>58</v>
      </c>
      <c r="AP156" s="23" t="s">
        <v>486</v>
      </c>
      <c r="AQ156" s="23"/>
      <c r="AR156" s="23"/>
      <c r="AS156" s="23" t="str">
        <f>IF(AND(AN156="Yes", AO156="Yes", AP156="Yes"), "Yes", IF(AND(AN156="", AO156="", AP156=""), "No", "Incomplete"))</f>
        <v>Incomplete</v>
      </c>
      <c r="AT156" s="29" t="str">
        <f t="shared" si="18"/>
        <v>Under Process</v>
      </c>
      <c r="AU156" s="30"/>
      <c r="AV156" s="31"/>
      <c r="AW156" s="31"/>
      <c r="AX156" s="2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</row>
    <row r="157" spans="1:74" x14ac:dyDescent="0.25">
      <c r="A157" s="25">
        <v>148</v>
      </c>
      <c r="B157" s="23" t="s">
        <v>546</v>
      </c>
      <c r="C157" s="23" t="s">
        <v>502</v>
      </c>
      <c r="D157" s="26" t="s">
        <v>547</v>
      </c>
      <c r="E157" s="23">
        <v>4</v>
      </c>
      <c r="F157" s="23" t="s">
        <v>71</v>
      </c>
      <c r="G157" s="23">
        <f>VLOOKUP(C157,[2]Sheet2!$T$3:$V$92,3,FALSE)</f>
        <v>22</v>
      </c>
      <c r="H157" s="23" t="s">
        <v>68</v>
      </c>
      <c r="I157" s="23" t="s">
        <v>55</v>
      </c>
      <c r="J157" s="23">
        <v>4</v>
      </c>
      <c r="K157" s="6">
        <v>0.5</v>
      </c>
      <c r="L157" s="23" t="s">
        <v>548</v>
      </c>
      <c r="M157" s="23"/>
      <c r="N157" s="23"/>
      <c r="O157" s="23" t="e">
        <f>IF(DATEVALUE(MID(N157,15,10))-DATEVALUE(LEFT(N157,10))+1&gt;=365,"1 Year",
DATEDIF(DATEVALUE(LEFT(N157,10)),DATEVALUE(MID(N157,15,10)),"Y")&amp;" Years, "&amp;DATEDIF(DATEVALUE(LEFT(N157,10)),DATEVALUE(MID(N157,15,10)),"YM")&amp;" Months, "&amp;DATEDIF(DATEVALUE(LEFT(N157,10)),DATEVALUE(MID(N157,15,10)),"MD")&amp;" Days")</f>
        <v>#VALUE!</v>
      </c>
      <c r="P157" s="23"/>
      <c r="Q157" s="23"/>
      <c r="R157" s="27"/>
      <c r="S157" s="27"/>
      <c r="T157" s="23">
        <v>50236427</v>
      </c>
      <c r="U157" s="28">
        <v>4210175159111</v>
      </c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 t="s">
        <v>39</v>
      </c>
      <c r="AN157" s="23" t="s">
        <v>58</v>
      </c>
      <c r="AO157" s="23"/>
      <c r="AP157" s="23"/>
      <c r="AQ157" s="23"/>
      <c r="AR157" s="23"/>
      <c r="AS157" s="23" t="str">
        <f>IF(AND(AN157="Yes"), "Yes", IF(AND(AN157=""), "No", "Incomplete"))</f>
        <v>Yes</v>
      </c>
      <c r="AT157" s="29" t="str">
        <f t="shared" si="18"/>
        <v>Yes</v>
      </c>
      <c r="AU157" s="30"/>
      <c r="AV157" s="31"/>
      <c r="AW157" s="31"/>
      <c r="AX157" s="2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</row>
    <row r="158" spans="1:74" x14ac:dyDescent="0.25">
      <c r="A158" s="25">
        <v>150</v>
      </c>
      <c r="B158" s="23" t="s">
        <v>549</v>
      </c>
      <c r="C158" s="23" t="s">
        <v>531</v>
      </c>
      <c r="D158" s="26" t="s">
        <v>550</v>
      </c>
      <c r="E158" s="23">
        <v>4</v>
      </c>
      <c r="F158" s="23" t="s">
        <v>71</v>
      </c>
      <c r="G158" s="23">
        <f>VLOOKUP(C158,[2]Sheet2!$T$3:$V$92,3,FALSE)</f>
        <v>23</v>
      </c>
      <c r="H158" s="23" t="s">
        <v>68</v>
      </c>
      <c r="I158" s="23" t="s">
        <v>55</v>
      </c>
      <c r="J158" s="23">
        <v>4</v>
      </c>
      <c r="K158" s="6">
        <v>0.73</v>
      </c>
      <c r="L158" s="23" t="s">
        <v>551</v>
      </c>
      <c r="M158" s="23"/>
      <c r="N158" s="23"/>
      <c r="O158" s="23" t="e">
        <f>IF(DATEVALUE(MID(N158,15,10))-DATEVALUE(LEFT(N158,10))+1&gt;=365,"1 Year",
DATEDIF(DATEVALUE(LEFT(N158,10)),DATEVALUE(MID(N158,15,10)),"Y")&amp;" Years, "&amp;DATEDIF(DATEVALUE(LEFT(N158,10)),DATEVALUE(MID(N158,15,10)),"YM")&amp;" Months, "&amp;DATEDIF(DATEVALUE(LEFT(N158,10)),DATEVALUE(MID(N158,15,10)),"MD")&amp;" Days")</f>
        <v>#VALUE!</v>
      </c>
      <c r="P158" s="23"/>
      <c r="Q158" s="23"/>
      <c r="R158" s="27">
        <v>43062</v>
      </c>
      <c r="S158" s="27">
        <v>43062</v>
      </c>
      <c r="T158" s="23">
        <v>50385494</v>
      </c>
      <c r="U158" s="28">
        <v>4240174891323</v>
      </c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 t="s">
        <v>40</v>
      </c>
      <c r="AN158" s="23"/>
      <c r="AO158" s="32" t="s">
        <v>58</v>
      </c>
      <c r="AP158" s="23"/>
      <c r="AQ158" s="23"/>
      <c r="AR158" s="23"/>
      <c r="AS158" s="23" t="str">
        <f>IF(AND(AN158="Yes"), "Yes", IF(AND(AN158=""), "No", "Incomplete"))</f>
        <v>No</v>
      </c>
      <c r="AT158" s="29" t="str">
        <f t="shared" si="18"/>
        <v>Yes</v>
      </c>
      <c r="AU158" s="30"/>
      <c r="AV158" s="31"/>
      <c r="AW158" s="31"/>
      <c r="AX158" s="2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</row>
    <row r="159" spans="1:74" x14ac:dyDescent="0.25">
      <c r="A159" s="25">
        <v>156</v>
      </c>
      <c r="B159" s="23" t="s">
        <v>552</v>
      </c>
      <c r="C159" s="23" t="s">
        <v>553</v>
      </c>
      <c r="D159" s="26" t="s">
        <v>554</v>
      </c>
      <c r="E159" s="23">
        <v>19</v>
      </c>
      <c r="F159" s="23" t="s">
        <v>555</v>
      </c>
      <c r="G159" s="23">
        <f>VLOOKUP(C159,[2]Sheet2!$T$3:$V$92,3,FALSE)</f>
        <v>41</v>
      </c>
      <c r="H159" s="23" t="s">
        <v>54</v>
      </c>
      <c r="I159" s="23" t="s">
        <v>436</v>
      </c>
      <c r="J159" s="23"/>
      <c r="L159" s="23"/>
      <c r="M159" s="23"/>
      <c r="N159" s="23"/>
      <c r="O159" s="23" t="str">
        <f>IF(ISNUMBER(SEARCH("to", N159)),
_xlfn.LET(
    _xlpm.text_n3, N159,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159" s="23"/>
      <c r="Q159" s="23"/>
      <c r="R159" s="27"/>
      <c r="S159" s="27"/>
      <c r="T159" s="23">
        <v>50139775</v>
      </c>
      <c r="U159" s="28">
        <v>6110174473939</v>
      </c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 t="s">
        <v>41</v>
      </c>
      <c r="AN159" s="23" t="s">
        <v>58</v>
      </c>
      <c r="AO159" s="23" t="s">
        <v>58</v>
      </c>
      <c r="AP159" s="23" t="s">
        <v>58</v>
      </c>
      <c r="AQ159" s="23"/>
      <c r="AR159" s="23"/>
      <c r="AS159" s="23" t="str">
        <f t="shared" ref="AS159:AS164" si="20">IF(AND(AN159="Yes", AO159="Yes", AP159="Yes"), "Yes", IF(AND(AN159="", AO159="", AP159=""), "No", "Incomplete"))</f>
        <v>Yes</v>
      </c>
      <c r="AT159" s="29" t="str">
        <f t="shared" si="18"/>
        <v>Yes</v>
      </c>
      <c r="AU159" s="30"/>
      <c r="AV159" s="31"/>
      <c r="AW159" s="31" t="s">
        <v>59</v>
      </c>
      <c r="AX159" s="2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</row>
    <row r="160" spans="1:74" x14ac:dyDescent="0.25">
      <c r="A160" s="25">
        <v>157</v>
      </c>
      <c r="B160" s="23" t="s">
        <v>556</v>
      </c>
      <c r="C160" s="23" t="s">
        <v>553</v>
      </c>
      <c r="D160" s="26" t="s">
        <v>66</v>
      </c>
      <c r="E160" s="23">
        <v>18</v>
      </c>
      <c r="F160" s="23" t="s">
        <v>557</v>
      </c>
      <c r="G160" s="23">
        <f>VLOOKUP(C160,[2]Sheet2!$T$3:$V$92,3,FALSE)</f>
        <v>41</v>
      </c>
      <c r="H160" s="23" t="s">
        <v>54</v>
      </c>
      <c r="I160" s="23" t="s">
        <v>436</v>
      </c>
      <c r="J160" s="23"/>
      <c r="L160" s="23"/>
      <c r="M160" s="23"/>
      <c r="N160" s="23"/>
      <c r="O160" s="23" t="str">
        <f>IF(ISNUMBER(SEARCH("to", N160)),
_xlfn.LET(
    _xlpm.first_line, LEFT(N160, IFERROR(SEARCH(CHAR(10), N160)-1, LEN(N160))),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160" s="23"/>
      <c r="Q160" s="23"/>
      <c r="R160" s="27"/>
      <c r="S160" s="27"/>
      <c r="T160" s="23"/>
      <c r="U160" s="28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 t="s">
        <v>66</v>
      </c>
      <c r="AN160" s="23"/>
      <c r="AO160" s="23"/>
      <c r="AP160" s="23"/>
      <c r="AQ160" s="23"/>
      <c r="AR160" s="23"/>
      <c r="AS160" s="23" t="str">
        <f t="shared" si="20"/>
        <v>No</v>
      </c>
      <c r="AT160" s="29" t="str">
        <f t="shared" si="18"/>
        <v>Vacant</v>
      </c>
      <c r="AU160" s="30"/>
      <c r="AV160" s="31"/>
      <c r="AW160" s="31"/>
      <c r="AX160" s="2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</row>
    <row r="161" spans="1:74" ht="28.5" x14ac:dyDescent="0.25">
      <c r="A161" s="25">
        <v>158</v>
      </c>
      <c r="B161" s="23" t="s">
        <v>558</v>
      </c>
      <c r="C161" s="23" t="s">
        <v>553</v>
      </c>
      <c r="D161" s="26" t="s">
        <v>559</v>
      </c>
      <c r="E161" s="23">
        <v>16</v>
      </c>
      <c r="F161" s="23" t="s">
        <v>560</v>
      </c>
      <c r="G161" s="23">
        <f>VLOOKUP(C161,[2]Sheet2!$T$3:$V$92,3,FALSE)</f>
        <v>41</v>
      </c>
      <c r="H161" s="23" t="s">
        <v>54</v>
      </c>
      <c r="I161" s="23" t="s">
        <v>436</v>
      </c>
      <c r="J161" s="23"/>
      <c r="K161" s="6">
        <v>0</v>
      </c>
      <c r="L161" s="23"/>
      <c r="M161" s="23"/>
      <c r="N161" s="23" t="s">
        <v>561</v>
      </c>
      <c r="O161" s="23" t="str">
        <f t="shared" ref="O161:O170" si="21">IF(DATEVALUE(MID(N161,15,10))-DATEVALUE(LEFT(N161,10))+1&gt;=365,"1 Year",
DATEDIF(DATEVALUE(LEFT(N161,10)),DATEVALUE(MID(N161,15,10)),"Y")&amp;" Years, "&amp;DATEDIF(DATEVALUE(LEFT(N161,10)),DATEVALUE(MID(N161,15,10)),"YM")&amp;" Months, "&amp;DATEDIF(DATEVALUE(LEFT(N161,10)),DATEVALUE(MID(N161,15,10)),"MD")&amp;" Days")</f>
        <v>0 Years, 5 Months, 21 Days</v>
      </c>
      <c r="P161" s="23"/>
      <c r="Q161" s="23" t="s">
        <v>57</v>
      </c>
      <c r="R161" s="27"/>
      <c r="S161" s="27"/>
      <c r="T161" s="23"/>
      <c r="U161" s="28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 t="s">
        <v>41</v>
      </c>
      <c r="AN161" s="23"/>
      <c r="AO161" s="23"/>
      <c r="AP161" s="32" t="s">
        <v>58</v>
      </c>
      <c r="AQ161" s="23"/>
      <c r="AR161" s="23"/>
      <c r="AS161" s="23" t="str">
        <f t="shared" si="20"/>
        <v>Incomplete</v>
      </c>
      <c r="AT161" s="29" t="str">
        <f t="shared" si="18"/>
        <v>Yes</v>
      </c>
      <c r="AU161" s="30"/>
      <c r="AV161" s="31"/>
      <c r="AW161" s="31" t="s">
        <v>59</v>
      </c>
      <c r="AX161" s="2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</row>
    <row r="162" spans="1:74" x14ac:dyDescent="0.25">
      <c r="A162" s="25">
        <v>159</v>
      </c>
      <c r="B162" s="23" t="s">
        <v>562</v>
      </c>
      <c r="C162" s="23" t="s">
        <v>553</v>
      </c>
      <c r="D162" s="26" t="s">
        <v>563</v>
      </c>
      <c r="E162" s="23">
        <v>16</v>
      </c>
      <c r="F162" s="23" t="s">
        <v>67</v>
      </c>
      <c r="G162" s="23">
        <f>VLOOKUP(C162,[2]Sheet2!$T$3:$V$92,3,FALSE)</f>
        <v>41</v>
      </c>
      <c r="H162" s="23" t="s">
        <v>68</v>
      </c>
      <c r="I162" s="23" t="s">
        <v>436</v>
      </c>
      <c r="J162" s="23"/>
      <c r="K162" s="6">
        <v>0.5</v>
      </c>
      <c r="L162" s="23" t="s">
        <v>564</v>
      </c>
      <c r="M162" s="23"/>
      <c r="N162" s="23"/>
      <c r="O162" s="23" t="e">
        <f t="shared" si="21"/>
        <v>#VALUE!</v>
      </c>
      <c r="P162" s="23"/>
      <c r="Q162" s="23"/>
      <c r="R162" s="27"/>
      <c r="S162" s="27"/>
      <c r="T162" s="23">
        <v>10420405</v>
      </c>
      <c r="U162" s="28">
        <v>4550464873789</v>
      </c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 t="s">
        <v>42</v>
      </c>
      <c r="AN162" s="32" t="s">
        <v>58</v>
      </c>
      <c r="AO162" s="32" t="s">
        <v>58</v>
      </c>
      <c r="AP162" s="23" t="s">
        <v>58</v>
      </c>
      <c r="AQ162" s="32" t="s">
        <v>58</v>
      </c>
      <c r="AR162" s="23"/>
      <c r="AS162" s="23" t="str">
        <f t="shared" si="20"/>
        <v>Yes</v>
      </c>
      <c r="AT162" s="29" t="str">
        <f t="shared" si="18"/>
        <v>Yes</v>
      </c>
      <c r="AU162" s="30"/>
      <c r="AV162" s="31"/>
      <c r="AW162" s="31" t="s">
        <v>59</v>
      </c>
      <c r="AX162" s="2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</row>
    <row r="163" spans="1:74" x14ac:dyDescent="0.25">
      <c r="A163" s="25">
        <v>160</v>
      </c>
      <c r="B163" s="23" t="s">
        <v>565</v>
      </c>
      <c r="C163" s="23" t="s">
        <v>553</v>
      </c>
      <c r="D163" s="26" t="s">
        <v>566</v>
      </c>
      <c r="E163" s="23">
        <v>16</v>
      </c>
      <c r="F163" s="23" t="s">
        <v>62</v>
      </c>
      <c r="G163" s="23">
        <f>VLOOKUP(C163,[2]Sheet2!$T$3:$V$92,3,FALSE)</f>
        <v>41</v>
      </c>
      <c r="H163" s="23" t="s">
        <v>54</v>
      </c>
      <c r="I163" s="23" t="s">
        <v>436</v>
      </c>
      <c r="J163" s="23"/>
      <c r="K163" s="6">
        <v>0.4</v>
      </c>
      <c r="L163" s="23" t="s">
        <v>564</v>
      </c>
      <c r="M163" s="23"/>
      <c r="N163" s="23"/>
      <c r="O163" s="23" t="e">
        <f t="shared" si="21"/>
        <v>#VALUE!</v>
      </c>
      <c r="P163" s="23"/>
      <c r="Q163" s="23"/>
      <c r="R163" s="27"/>
      <c r="S163" s="27"/>
      <c r="T163" s="23">
        <v>10239625</v>
      </c>
      <c r="U163" s="28">
        <v>4520308174205</v>
      </c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 t="s">
        <v>42</v>
      </c>
      <c r="AN163" s="32" t="s">
        <v>58</v>
      </c>
      <c r="AO163" s="32" t="s">
        <v>58</v>
      </c>
      <c r="AP163" s="61" t="s">
        <v>58</v>
      </c>
      <c r="AQ163" s="61" t="s">
        <v>58</v>
      </c>
      <c r="AR163" s="23"/>
      <c r="AS163" s="23" t="str">
        <f t="shared" si="20"/>
        <v>Yes</v>
      </c>
      <c r="AT163" s="29" t="str">
        <f>IF(AM163="Matric",IF(AN163="Yes","Yes",IF(AN163="Under Process", "Under Process","No")),IF(AM163="Inter",IF(AO163="Yes","Yes",IF(AO163="Under Process", "Under Process","No")),IF(AM163="Bachelor",IF(AP163="Yes","Yes",IF(AP163="Under Process", "Under Process","No")),IF(AM163="Master",IF(AQ163="Yes","Yes",IF(AQ163="Under Process", "Under Process","No")),IF(AM163="Vacant",IF(#REF!="Yes","No","Vacant"),IF(AM163="NA",IF(#REF!="Yes","No","NA"),"No"))))))</f>
        <v>Yes</v>
      </c>
      <c r="AU163" s="30"/>
      <c r="AV163" s="31"/>
      <c r="AW163" s="31" t="s">
        <v>59</v>
      </c>
      <c r="AX163" s="2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</row>
    <row r="164" spans="1:74" x14ac:dyDescent="0.25">
      <c r="A164" s="25">
        <v>161</v>
      </c>
      <c r="B164" s="23" t="s">
        <v>567</v>
      </c>
      <c r="C164" s="23" t="s">
        <v>553</v>
      </c>
      <c r="D164" s="26" t="s">
        <v>568</v>
      </c>
      <c r="E164" s="23">
        <v>15</v>
      </c>
      <c r="F164" s="23" t="s">
        <v>108</v>
      </c>
      <c r="G164" s="23">
        <f>VLOOKUP(C164,[2]Sheet2!$T$3:$V$92,3,FALSE)</f>
        <v>41</v>
      </c>
      <c r="H164" s="23" t="s">
        <v>68</v>
      </c>
      <c r="I164" s="23" t="s">
        <v>436</v>
      </c>
      <c r="J164" s="23"/>
      <c r="K164" s="6">
        <v>0.7</v>
      </c>
      <c r="L164" s="23" t="s">
        <v>427</v>
      </c>
      <c r="M164" s="23"/>
      <c r="N164" s="23"/>
      <c r="O164" s="23" t="e">
        <f t="shared" si="21"/>
        <v>#VALUE!</v>
      </c>
      <c r="P164" s="23"/>
      <c r="Q164" s="23"/>
      <c r="R164" s="27"/>
      <c r="S164" s="27"/>
      <c r="T164" s="23">
        <v>50192575</v>
      </c>
      <c r="U164" s="28">
        <v>4550491094819</v>
      </c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 t="s">
        <v>42</v>
      </c>
      <c r="AN164" s="32" t="s">
        <v>58</v>
      </c>
      <c r="AO164" s="32" t="s">
        <v>58</v>
      </c>
      <c r="AP164" s="23" t="s">
        <v>58</v>
      </c>
      <c r="AQ164" s="32" t="s">
        <v>58</v>
      </c>
      <c r="AR164" s="23" t="s">
        <v>569</v>
      </c>
      <c r="AS164" s="23" t="str">
        <f t="shared" si="20"/>
        <v>Yes</v>
      </c>
      <c r="AT164" s="29" t="str">
        <f t="shared" ref="AT164:AT170" si="22">IF(AM164="Matric",IF(AN164="Yes","Yes",IF(AN164="Under Process", "Under Process","No")),IF(AM164="Inter",IF(AO164="Yes","Yes",IF(AO164="Under Process", "Under Process","No")),IF(AM164="Bachelor",IF(AP164="Yes","Yes",IF(AP164="Under Process", "Under Process","No")),IF(AM164="Master",IF(AQ164="Yes","Yes",IF(AQ164="Under Process", "Under Process","No")),IF(AM164="Vacant",IF(D172="Yes","No","Vacant"),IF(AM164="NA",IF(D172="Yes","No","NA"),"No"))))))</f>
        <v>Yes</v>
      </c>
      <c r="AU164" s="30"/>
      <c r="AV164" s="31"/>
      <c r="AW164" s="31" t="s">
        <v>59</v>
      </c>
      <c r="AX164" s="2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</row>
    <row r="165" spans="1:74" x14ac:dyDescent="0.25">
      <c r="A165" s="25">
        <v>162</v>
      </c>
      <c r="B165" s="23" t="s">
        <v>570</v>
      </c>
      <c r="C165" s="23" t="s">
        <v>553</v>
      </c>
      <c r="D165" s="26" t="s">
        <v>571</v>
      </c>
      <c r="E165" s="23">
        <v>13</v>
      </c>
      <c r="F165" s="23" t="s">
        <v>131</v>
      </c>
      <c r="G165" s="23">
        <f>VLOOKUP(C165,[2]Sheet2!$T$3:$V$92,3,FALSE)</f>
        <v>41</v>
      </c>
      <c r="H165" s="23" t="s">
        <v>68</v>
      </c>
      <c r="I165" s="23" t="s">
        <v>436</v>
      </c>
      <c r="J165" s="23"/>
      <c r="K165" s="6">
        <v>0.4</v>
      </c>
      <c r="L165" s="23" t="s">
        <v>564</v>
      </c>
      <c r="M165" s="23"/>
      <c r="N165" s="23"/>
      <c r="O165" s="23" t="e">
        <f t="shared" si="21"/>
        <v>#VALUE!</v>
      </c>
      <c r="P165" s="23"/>
      <c r="Q165" s="23"/>
      <c r="R165" s="27"/>
      <c r="S165" s="27"/>
      <c r="T165" s="23">
        <v>10419042</v>
      </c>
      <c r="U165" s="28">
        <v>4520402068537</v>
      </c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 t="s">
        <v>42</v>
      </c>
      <c r="AN165" s="32" t="s">
        <v>58</v>
      </c>
      <c r="AO165" s="32" t="s">
        <v>58</v>
      </c>
      <c r="AP165" s="62" t="s">
        <v>58</v>
      </c>
      <c r="AQ165" s="32" t="s">
        <v>58</v>
      </c>
      <c r="AR165" s="23"/>
      <c r="AS165" s="23" t="str">
        <f>IF(AND(AN165="Yes", AO165="Yes"), "Yes", IF(AND(AN165="", AO165=""), "No", "Incomplete"))</f>
        <v>Yes</v>
      </c>
      <c r="AT165" s="29" t="str">
        <f t="shared" si="22"/>
        <v>Yes</v>
      </c>
      <c r="AU165" s="30"/>
      <c r="AV165" s="31" t="s">
        <v>64</v>
      </c>
      <c r="AW165" s="31" t="s">
        <v>59</v>
      </c>
      <c r="AX165" s="2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</row>
    <row r="166" spans="1:74" x14ac:dyDescent="0.25">
      <c r="A166" s="25">
        <v>163</v>
      </c>
      <c r="B166" s="23" t="s">
        <v>572</v>
      </c>
      <c r="C166" s="23" t="s">
        <v>553</v>
      </c>
      <c r="D166" s="26" t="s">
        <v>573</v>
      </c>
      <c r="E166" s="23">
        <v>11</v>
      </c>
      <c r="F166" s="23" t="s">
        <v>138</v>
      </c>
      <c r="G166" s="23">
        <f>VLOOKUP(C166,[2]Sheet2!$T$3:$V$92,3,FALSE)</f>
        <v>41</v>
      </c>
      <c r="H166" s="23" t="s">
        <v>68</v>
      </c>
      <c r="I166" s="23" t="s">
        <v>436</v>
      </c>
      <c r="J166" s="23"/>
      <c r="K166" s="6">
        <v>0.95</v>
      </c>
      <c r="L166" s="23" t="s">
        <v>574</v>
      </c>
      <c r="M166" s="23"/>
      <c r="N166" s="23"/>
      <c r="O166" s="23" t="e">
        <f t="shared" si="21"/>
        <v>#VALUE!</v>
      </c>
      <c r="P166" s="23"/>
      <c r="Q166" s="23"/>
      <c r="R166" s="27"/>
      <c r="S166" s="27"/>
      <c r="T166" s="23">
        <v>50654697</v>
      </c>
      <c r="U166" s="28">
        <v>4550444139402</v>
      </c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 t="s">
        <v>39</v>
      </c>
      <c r="AN166" s="61" t="s">
        <v>58</v>
      </c>
      <c r="AO166" s="23"/>
      <c r="AP166" s="23"/>
      <c r="AQ166" s="23"/>
      <c r="AR166" s="23"/>
      <c r="AS166" s="23" t="str">
        <f>IF(AND(AN166="Yes"), "Yes", IF(AND(AN166=""), "No", "Incomplete"))</f>
        <v>Yes</v>
      </c>
      <c r="AT166" s="29" t="str">
        <f t="shared" si="22"/>
        <v>Yes</v>
      </c>
      <c r="AU166" s="30"/>
      <c r="AV166" s="31"/>
      <c r="AW166" s="31" t="s">
        <v>59</v>
      </c>
      <c r="AX166" s="2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</row>
    <row r="167" spans="1:74" x14ac:dyDescent="0.25">
      <c r="A167" s="25">
        <v>165</v>
      </c>
      <c r="B167" s="23" t="s">
        <v>575</v>
      </c>
      <c r="C167" s="23" t="s">
        <v>553</v>
      </c>
      <c r="D167" s="26" t="s">
        <v>576</v>
      </c>
      <c r="E167" s="23">
        <v>7</v>
      </c>
      <c r="F167" s="23" t="s">
        <v>264</v>
      </c>
      <c r="G167" s="23">
        <f>VLOOKUP(C167,[2]Sheet2!$T$3:$V$92,3,FALSE)</f>
        <v>41</v>
      </c>
      <c r="H167" s="23" t="s">
        <v>68</v>
      </c>
      <c r="I167" s="23" t="s">
        <v>436</v>
      </c>
      <c r="J167" s="23"/>
      <c r="K167" s="6">
        <v>0.4</v>
      </c>
      <c r="L167" s="23" t="s">
        <v>564</v>
      </c>
      <c r="M167" s="23"/>
      <c r="N167" s="23"/>
      <c r="O167" s="23" t="e">
        <f t="shared" si="21"/>
        <v>#VALUE!</v>
      </c>
      <c r="P167" s="23"/>
      <c r="Q167" s="23"/>
      <c r="R167" s="27"/>
      <c r="S167" s="27"/>
      <c r="T167" s="23">
        <v>50196571</v>
      </c>
      <c r="U167" s="28">
        <v>4520422669255</v>
      </c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 t="s">
        <v>73</v>
      </c>
      <c r="AN167" s="23"/>
      <c r="AO167" s="23"/>
      <c r="AP167" s="23"/>
      <c r="AQ167" s="23"/>
      <c r="AR167" s="23"/>
      <c r="AS167" s="23" t="str">
        <f>IF(AND(AN167="Yes"), "Yes", IF(AND(AN167=""), "No", "Incomplete"))</f>
        <v>No</v>
      </c>
      <c r="AT167" s="29" t="str">
        <f t="shared" si="22"/>
        <v>NA</v>
      </c>
      <c r="AU167" s="30"/>
      <c r="AV167" s="31"/>
      <c r="AW167" s="31" t="s">
        <v>59</v>
      </c>
      <c r="AX167" s="2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</row>
    <row r="168" spans="1:74" x14ac:dyDescent="0.25">
      <c r="A168" s="25">
        <v>164</v>
      </c>
      <c r="B168" s="23" t="s">
        <v>577</v>
      </c>
      <c r="C168" s="23" t="s">
        <v>553</v>
      </c>
      <c r="D168" s="41" t="s">
        <v>578</v>
      </c>
      <c r="E168" s="23">
        <v>7</v>
      </c>
      <c r="F168" s="23" t="s">
        <v>145</v>
      </c>
      <c r="G168" s="23">
        <f>VLOOKUP(C168,[2]Sheet2!$T$3:$V$92,3,FALSE)</f>
        <v>41</v>
      </c>
      <c r="H168" s="23" t="s">
        <v>68</v>
      </c>
      <c r="I168" s="23" t="s">
        <v>436</v>
      </c>
      <c r="J168" s="23"/>
      <c r="K168" s="6">
        <v>0.5</v>
      </c>
      <c r="L168" s="23" t="s">
        <v>376</v>
      </c>
      <c r="M168" s="23"/>
      <c r="N168" s="23"/>
      <c r="O168" s="23" t="e">
        <f t="shared" si="21"/>
        <v>#VALUE!</v>
      </c>
      <c r="P168" s="23"/>
      <c r="Q168" s="23"/>
      <c r="R168" s="27"/>
      <c r="S168" s="27"/>
      <c r="T168" s="23"/>
      <c r="U168" s="28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 t="s">
        <v>40</v>
      </c>
      <c r="AN168" s="23"/>
      <c r="AO168" s="32" t="s">
        <v>58</v>
      </c>
      <c r="AP168" s="23"/>
      <c r="AQ168" s="23"/>
      <c r="AR168" s="23"/>
      <c r="AS168" s="23" t="str">
        <f>IF(AND(AN168="Yes"), "Yes", IF(AND(AN168=""), "No", "Incomplete"))</f>
        <v>No</v>
      </c>
      <c r="AT168" s="29" t="str">
        <f t="shared" si="22"/>
        <v>Yes</v>
      </c>
      <c r="AU168" s="30"/>
      <c r="AV168" s="31"/>
      <c r="AW168" s="31"/>
      <c r="AX168" s="2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</row>
    <row r="169" spans="1:74" x14ac:dyDescent="0.25">
      <c r="A169" s="25">
        <v>166</v>
      </c>
      <c r="B169" s="23" t="s">
        <v>579</v>
      </c>
      <c r="C169" s="23" t="s">
        <v>553</v>
      </c>
      <c r="D169" s="26" t="s">
        <v>580</v>
      </c>
      <c r="E169" s="23">
        <v>5</v>
      </c>
      <c r="F169" s="23" t="s">
        <v>161</v>
      </c>
      <c r="G169" s="23">
        <f>VLOOKUP(C169,[2]Sheet2!$T$3:$V$92,3,FALSE)</f>
        <v>41</v>
      </c>
      <c r="H169" s="23" t="s">
        <v>68</v>
      </c>
      <c r="I169" s="23" t="s">
        <v>436</v>
      </c>
      <c r="J169" s="23"/>
      <c r="K169" s="6">
        <v>0</v>
      </c>
      <c r="L169" s="23"/>
      <c r="M169" s="63" t="s">
        <v>581</v>
      </c>
      <c r="N169" s="63"/>
      <c r="O169" s="23" t="e">
        <f t="shared" si="21"/>
        <v>#VALUE!</v>
      </c>
      <c r="P169" s="63"/>
      <c r="Q169" s="63"/>
      <c r="R169" s="27">
        <v>35368</v>
      </c>
      <c r="S169" s="64">
        <v>38196</v>
      </c>
      <c r="T169" s="23">
        <v>10203258</v>
      </c>
      <c r="U169" s="28">
        <v>4550102383383</v>
      </c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 t="s">
        <v>73</v>
      </c>
      <c r="AN169" s="23"/>
      <c r="AO169" s="23"/>
      <c r="AP169" s="23"/>
      <c r="AQ169" s="23"/>
      <c r="AR169" s="23"/>
      <c r="AS169" s="23" t="str">
        <f>IF(AND(AN169="Yes"), "Yes", IF(AND(AN169=""), "No", "Incomplete"))</f>
        <v>No</v>
      </c>
      <c r="AT169" s="29" t="str">
        <f t="shared" si="22"/>
        <v>NA</v>
      </c>
      <c r="AU169" s="30"/>
      <c r="AV169" s="31"/>
      <c r="AW169" s="31" t="s">
        <v>59</v>
      </c>
      <c r="AX169" s="2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</row>
    <row r="170" spans="1:74" x14ac:dyDescent="0.25">
      <c r="A170" s="25">
        <v>167</v>
      </c>
      <c r="B170" s="23" t="s">
        <v>582</v>
      </c>
      <c r="C170" s="23" t="s">
        <v>553</v>
      </c>
      <c r="D170" s="26" t="s">
        <v>583</v>
      </c>
      <c r="E170" s="23">
        <v>5</v>
      </c>
      <c r="F170" s="23" t="s">
        <v>71</v>
      </c>
      <c r="G170" s="23">
        <f>VLOOKUP(C170,[2]Sheet2!$T$3:$V$92,3,FALSE)</f>
        <v>41</v>
      </c>
      <c r="H170" s="23" t="s">
        <v>68</v>
      </c>
      <c r="I170" s="23" t="s">
        <v>436</v>
      </c>
      <c r="J170" s="23"/>
      <c r="K170" s="6">
        <v>0.5</v>
      </c>
      <c r="L170" s="23" t="s">
        <v>564</v>
      </c>
      <c r="M170" s="23"/>
      <c r="N170" s="23"/>
      <c r="O170" s="23" t="e">
        <f t="shared" si="21"/>
        <v>#VALUE!</v>
      </c>
      <c r="P170" s="23"/>
      <c r="Q170" s="23"/>
      <c r="R170" s="27"/>
      <c r="S170" s="27"/>
      <c r="T170" s="23">
        <v>10194953</v>
      </c>
      <c r="U170" s="28">
        <v>4520459843553</v>
      </c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 t="s">
        <v>39</v>
      </c>
      <c r="AN170" s="23" t="s">
        <v>58</v>
      </c>
      <c r="AO170" s="23"/>
      <c r="AP170" s="23"/>
      <c r="AQ170" s="23"/>
      <c r="AR170" s="23"/>
      <c r="AS170" s="23" t="str">
        <f>IF(AND(AN170="Yes"), "Yes", IF(AND(AN170=""), "No", "Incomplete"))</f>
        <v>Yes</v>
      </c>
      <c r="AT170" s="29" t="str">
        <f t="shared" si="22"/>
        <v>Yes</v>
      </c>
      <c r="AU170" s="30"/>
      <c r="AV170" s="31"/>
      <c r="AW170" s="31" t="s">
        <v>59</v>
      </c>
      <c r="AX170" s="2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</row>
    <row r="171" spans="1:74" ht="28.5" x14ac:dyDescent="0.25">
      <c r="A171" s="25">
        <v>168</v>
      </c>
      <c r="B171" s="23" t="s">
        <v>584</v>
      </c>
      <c r="C171" s="23" t="s">
        <v>585</v>
      </c>
      <c r="D171" s="26" t="s">
        <v>517</v>
      </c>
      <c r="E171" s="23">
        <v>17</v>
      </c>
      <c r="F171" s="23" t="s">
        <v>586</v>
      </c>
      <c r="G171" s="23">
        <f>VLOOKUP(C171,[2]Sheet2!$T$3:$V$92,3,FALSE)</f>
        <v>42</v>
      </c>
      <c r="H171" s="23" t="s">
        <v>54</v>
      </c>
      <c r="I171" s="23" t="s">
        <v>436</v>
      </c>
      <c r="J171" s="23"/>
      <c r="L171" s="23"/>
      <c r="M171" s="23"/>
      <c r="N171" s="23" t="s">
        <v>587</v>
      </c>
      <c r="O171" s="23" t="e">
        <f ca="1">IF(ISNUMBER(SEARCH("to", N171)),
_xlfn.LET(
    _xlpm.text_n3, N171,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171" s="23"/>
      <c r="Q171" s="23" t="s">
        <v>57</v>
      </c>
      <c r="R171" s="27"/>
      <c r="S171" s="27"/>
      <c r="T171" s="23">
        <v>50174716</v>
      </c>
      <c r="U171" s="28" t="s">
        <v>588</v>
      </c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 t="s">
        <v>42</v>
      </c>
      <c r="AN171" s="32" t="s">
        <v>58</v>
      </c>
      <c r="AO171" s="32" t="s">
        <v>58</v>
      </c>
      <c r="AP171" s="23" t="s">
        <v>58</v>
      </c>
      <c r="AQ171" s="23" t="s">
        <v>58</v>
      </c>
      <c r="AR171" s="23"/>
      <c r="AS171" s="23" t="str">
        <f>IF(AND(AN171="Yes", AO171="Yes", AP171="Yes"), "Yes", IF(AND(AN171="", AO171="", AP171=""), "No", "Incomplete"))</f>
        <v>Yes</v>
      </c>
      <c r="AT171" s="29" t="str">
        <f>IF(AM171="Matric",IF(AN171="Yes","Yes",IF(AN171="Under Process", "Under Process","No")),IF(AM171="Inter",IF(AO171="Yes","Yes",IF(AO171="Under Process", "Under Process","No")),IF(AM171="Bachelor",IF(AP171="Yes","Yes",IF(AP171="Under Process", "Under Process","No")),IF(AM171="Master",IF(AQ171="Yes","Yes",IF(AQ171="Under Process", "Under Process","No")),IF(AM171="Vacant",IF(D336="Yes","No","Vacant"),IF(AM171="NA",IF(D336="Yes","No","NA"),"No"))))))</f>
        <v>Yes</v>
      </c>
      <c r="AU171" s="30"/>
      <c r="AV171" s="31"/>
      <c r="AW171" s="31" t="s">
        <v>59</v>
      </c>
      <c r="AX171" s="2" t="s">
        <v>64</v>
      </c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</row>
    <row r="172" spans="1:74" s="65" customFormat="1" x14ac:dyDescent="0.25">
      <c r="A172" s="25">
        <v>169</v>
      </c>
      <c r="B172" s="23" t="s">
        <v>589</v>
      </c>
      <c r="C172" s="23" t="s">
        <v>585</v>
      </c>
      <c r="D172" s="26" t="s">
        <v>590</v>
      </c>
      <c r="E172" s="23">
        <v>16</v>
      </c>
      <c r="F172" s="23" t="s">
        <v>67</v>
      </c>
      <c r="G172" s="23">
        <f>VLOOKUP(C172,[2]Sheet2!$T$3:$V$92,3,FALSE)</f>
        <v>42</v>
      </c>
      <c r="H172" s="23" t="s">
        <v>68</v>
      </c>
      <c r="I172" s="23" t="s">
        <v>436</v>
      </c>
      <c r="J172" s="23"/>
      <c r="K172" s="6">
        <v>0.5</v>
      </c>
      <c r="L172" s="23" t="s">
        <v>376</v>
      </c>
      <c r="M172" s="23"/>
      <c r="N172" s="23"/>
      <c r="O172" s="23" t="e">
        <f>IF(DATEVALUE(MID(N172,15,10))-DATEVALUE(LEFT(N172,10))+1&gt;=365,"1 Year",
DATEDIF(DATEVALUE(LEFT(N172,10)),DATEVALUE(MID(N172,15,10)),"Y")&amp;" Years, "&amp;DATEDIF(DATEVALUE(LEFT(N172,10)),DATEVALUE(MID(N172,15,10)),"YM")&amp;" Months, "&amp;DATEDIF(DATEVALUE(LEFT(N172,10)),DATEVALUE(MID(N172,15,10)),"MD")&amp;" Days")</f>
        <v>#VALUE!</v>
      </c>
      <c r="P172" s="23"/>
      <c r="Q172" s="23"/>
      <c r="R172" s="27"/>
      <c r="S172" s="27"/>
      <c r="T172" s="23">
        <v>50220119</v>
      </c>
      <c r="U172" s="28">
        <v>4550455837473</v>
      </c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 t="s">
        <v>42</v>
      </c>
      <c r="AN172" s="32" t="s">
        <v>58</v>
      </c>
      <c r="AO172" s="32" t="s">
        <v>58</v>
      </c>
      <c r="AP172" s="61" t="s">
        <v>58</v>
      </c>
      <c r="AQ172" s="61" t="s">
        <v>58</v>
      </c>
      <c r="AR172" s="23"/>
      <c r="AS172" s="23" t="str">
        <f>IF(AND(AN172="Yes", AO172="Yes", AP172="Yes"), "Yes", IF(AND(AN172="", AO172="", AP172=""), "No", "Incomplete"))</f>
        <v>Yes</v>
      </c>
      <c r="AT172" s="29" t="str">
        <f t="shared" ref="AT172:AT184" si="23">IF(AM172="Matric",IF(AN172="Yes","Yes",IF(AN172="Under Process", "Under Process","No")),IF(AM172="Inter",IF(AO172="Yes","Yes",IF(AO172="Under Process", "Under Process","No")),IF(AM172="Bachelor",IF(AP172="Yes","Yes",IF(AP172="Under Process", "Under Process","No")),IF(AM172="Master",IF(AQ172="Yes","Yes",IF(AQ172="Under Process", "Under Process","No")),IF(AM172="Vacant",IF(D180="Yes","No","Vacant"),IF(AM172="NA",IF(D180="Yes","No","NA"),"No"))))))</f>
        <v>Yes</v>
      </c>
      <c r="AU172" s="30"/>
      <c r="AV172" s="31"/>
      <c r="AW172" s="31" t="s">
        <v>59</v>
      </c>
      <c r="AX172" s="2"/>
    </row>
    <row r="173" spans="1:74" x14ac:dyDescent="0.25">
      <c r="A173" s="25">
        <v>170</v>
      </c>
      <c r="B173" s="23" t="s">
        <v>591</v>
      </c>
      <c r="C173" s="23" t="s">
        <v>585</v>
      </c>
      <c r="D173" s="26" t="s">
        <v>592</v>
      </c>
      <c r="E173" s="23">
        <v>13</v>
      </c>
      <c r="F173" s="23" t="s">
        <v>131</v>
      </c>
      <c r="G173" s="23">
        <f>VLOOKUP(C173,[2]Sheet2!$T$3:$V$92,3,FALSE)</f>
        <v>42</v>
      </c>
      <c r="H173" s="23" t="s">
        <v>68</v>
      </c>
      <c r="I173" s="23" t="s">
        <v>436</v>
      </c>
      <c r="J173" s="23"/>
      <c r="K173" s="6">
        <v>0.95</v>
      </c>
      <c r="L173" s="23" t="s">
        <v>574</v>
      </c>
      <c r="M173" s="23"/>
      <c r="N173" s="23"/>
      <c r="O173" s="23" t="e">
        <f>IF(DATEVALUE(MID(N173,15,10))-DATEVALUE(LEFT(N173,10))+1&gt;=365,"1 Year",
DATEDIF(DATEVALUE(LEFT(N173,10)),DATEVALUE(MID(N173,15,10)),"Y")&amp;" Years, "&amp;DATEDIF(DATEVALUE(LEFT(N173,10)),DATEVALUE(MID(N173,15,10)),"YM")&amp;" Months, "&amp;DATEDIF(DATEVALUE(LEFT(N173,10)),DATEVALUE(MID(N173,15,10)),"MD")&amp;" Days")</f>
        <v>#VALUE!</v>
      </c>
      <c r="P173" s="23"/>
      <c r="Q173" s="23"/>
      <c r="R173" s="27"/>
      <c r="S173" s="27"/>
      <c r="T173" s="23">
        <v>10256907</v>
      </c>
      <c r="U173" s="28">
        <v>4520454425929</v>
      </c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 t="s">
        <v>42</v>
      </c>
      <c r="AN173" s="32" t="s">
        <v>58</v>
      </c>
      <c r="AO173" s="32" t="s">
        <v>58</v>
      </c>
      <c r="AP173" s="62" t="s">
        <v>58</v>
      </c>
      <c r="AQ173" s="32" t="s">
        <v>58</v>
      </c>
      <c r="AR173" s="23"/>
      <c r="AS173" s="23" t="str">
        <f>IF(AND(AN173="Yes", AO173="Yes"), "Yes", IF(AND(AN173="", AO173=""), "No", "Incomplete"))</f>
        <v>Yes</v>
      </c>
      <c r="AT173" s="29" t="str">
        <f t="shared" si="23"/>
        <v>Yes</v>
      </c>
      <c r="AU173" s="30"/>
      <c r="AV173" s="31"/>
      <c r="AW173" s="31" t="s">
        <v>59</v>
      </c>
      <c r="AX173" s="2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</row>
    <row r="174" spans="1:74" x14ac:dyDescent="0.25">
      <c r="A174" s="25">
        <v>171</v>
      </c>
      <c r="B174" s="23" t="s">
        <v>593</v>
      </c>
      <c r="C174" s="23" t="s">
        <v>585</v>
      </c>
      <c r="D174" s="26" t="s">
        <v>594</v>
      </c>
      <c r="E174" s="23">
        <v>5</v>
      </c>
      <c r="F174" s="23" t="s">
        <v>71</v>
      </c>
      <c r="G174" s="23">
        <f>VLOOKUP(C174,[2]Sheet2!$T$3:$V$92,3,FALSE)</f>
        <v>42</v>
      </c>
      <c r="H174" s="23" t="s">
        <v>68</v>
      </c>
      <c r="I174" s="23" t="s">
        <v>436</v>
      </c>
      <c r="J174" s="23"/>
      <c r="K174" s="6">
        <v>0.5</v>
      </c>
      <c r="L174" s="23" t="s">
        <v>564</v>
      </c>
      <c r="M174" s="23"/>
      <c r="N174" s="23"/>
      <c r="O174" s="23" t="e">
        <f>IF(DATEVALUE(MID(N174,15,10))-DATEVALUE(LEFT(N174,10))+1&gt;=365,"1 Year",
DATEDIF(DATEVALUE(LEFT(N174,10)),DATEVALUE(MID(N174,15,10)),"Y")&amp;" Years, "&amp;DATEDIF(DATEVALUE(LEFT(N174,10)),DATEVALUE(MID(N174,15,10)),"YM")&amp;" Months, "&amp;DATEDIF(DATEVALUE(LEFT(N174,10)),DATEVALUE(MID(N174,15,10)),"MD")&amp;" Days")</f>
        <v>#VALUE!</v>
      </c>
      <c r="P174" s="23"/>
      <c r="Q174" s="23"/>
      <c r="R174" s="27"/>
      <c r="S174" s="27"/>
      <c r="T174" s="23">
        <v>10499468</v>
      </c>
      <c r="U174" s="28">
        <v>4550411084585</v>
      </c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 t="s">
        <v>73</v>
      </c>
      <c r="AN174" s="23"/>
      <c r="AO174" s="23"/>
      <c r="AP174" s="23"/>
      <c r="AQ174" s="23"/>
      <c r="AR174" s="23"/>
      <c r="AS174" s="23" t="str">
        <f>IF(AND(AN174="Yes"), "Yes", IF(AND(AN174=""), "No", "Incomplete"))</f>
        <v>No</v>
      </c>
      <c r="AT174" s="29" t="str">
        <f t="shared" si="23"/>
        <v>NA</v>
      </c>
      <c r="AU174" s="30"/>
      <c r="AV174" s="31"/>
      <c r="AW174" s="31" t="s">
        <v>59</v>
      </c>
      <c r="AX174" s="2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</row>
    <row r="175" spans="1:74" x14ac:dyDescent="0.25">
      <c r="A175" s="25">
        <v>172</v>
      </c>
      <c r="B175" s="23" t="s">
        <v>595</v>
      </c>
      <c r="C175" s="23" t="s">
        <v>585</v>
      </c>
      <c r="D175" s="26" t="s">
        <v>596</v>
      </c>
      <c r="E175" s="23">
        <v>4</v>
      </c>
      <c r="F175" s="23" t="s">
        <v>161</v>
      </c>
      <c r="G175" s="23">
        <f>VLOOKUP(C175,[2]Sheet2!$T$3:$V$92,3,FALSE)</f>
        <v>42</v>
      </c>
      <c r="H175" s="23" t="s">
        <v>68</v>
      </c>
      <c r="I175" s="23" t="s">
        <v>436</v>
      </c>
      <c r="J175" s="23"/>
      <c r="K175" s="6">
        <v>0.5</v>
      </c>
      <c r="L175" s="23" t="s">
        <v>564</v>
      </c>
      <c r="M175" s="63" t="s">
        <v>581</v>
      </c>
      <c r="N175" s="63"/>
      <c r="O175" s="23" t="e">
        <f>IF(DATEVALUE(MID(N175,15,10))-DATEVALUE(LEFT(N175,10))+1&gt;=365,"1 Year",
DATEDIF(DATEVALUE(LEFT(N175,10)),DATEVALUE(MID(N175,15,10)),"Y")&amp;" Years, "&amp;DATEDIF(DATEVALUE(LEFT(N175,10)),DATEVALUE(MID(N175,15,10)),"YM")&amp;" Months, "&amp;DATEDIF(DATEVALUE(LEFT(N175,10)),DATEVALUE(MID(N175,15,10)),"MD")&amp;" Days")</f>
        <v>#VALUE!</v>
      </c>
      <c r="P175" s="63"/>
      <c r="Q175" s="63"/>
      <c r="R175" s="64">
        <v>43649</v>
      </c>
      <c r="S175" s="64">
        <v>43649</v>
      </c>
      <c r="T175" s="23">
        <v>50532524</v>
      </c>
      <c r="U175" s="28">
        <v>4550102388973</v>
      </c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 t="s">
        <v>40</v>
      </c>
      <c r="AN175" s="23" t="s">
        <v>58</v>
      </c>
      <c r="AO175" s="23" t="s">
        <v>58</v>
      </c>
      <c r="AP175" s="23"/>
      <c r="AQ175" s="23"/>
      <c r="AR175" s="23"/>
      <c r="AS175" s="23" t="str">
        <f>IF(AND(AN175="Yes"), "Yes", IF(AND(AN175=""), "No", "Incomplete"))</f>
        <v>Yes</v>
      </c>
      <c r="AT175" s="29" t="str">
        <f t="shared" si="23"/>
        <v>Yes</v>
      </c>
      <c r="AU175" s="30"/>
      <c r="AV175" s="31"/>
      <c r="AW175" s="31" t="s">
        <v>59</v>
      </c>
      <c r="AX175" s="2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</row>
    <row r="176" spans="1:74" x14ac:dyDescent="0.25">
      <c r="A176" s="25">
        <v>173</v>
      </c>
      <c r="B176" s="23" t="s">
        <v>597</v>
      </c>
      <c r="C176" s="23" t="s">
        <v>598</v>
      </c>
      <c r="D176" s="26" t="s">
        <v>599</v>
      </c>
      <c r="E176" s="23">
        <v>17</v>
      </c>
      <c r="F176" s="23" t="s">
        <v>511</v>
      </c>
      <c r="G176" s="23">
        <f>VLOOKUP(C176,[2]Sheet2!$T$3:$V$92,3,FALSE)</f>
        <v>43</v>
      </c>
      <c r="H176" s="23" t="s">
        <v>54</v>
      </c>
      <c r="I176" s="23" t="s">
        <v>436</v>
      </c>
      <c r="J176" s="23"/>
      <c r="L176" s="23"/>
      <c r="M176" s="23"/>
      <c r="N176" s="23" t="s">
        <v>56</v>
      </c>
      <c r="O176" s="23" t="e">
        <f ca="1">IF(ISNUMBER(SEARCH("to", N176)),
_xlfn.LET(
    _xlpm.text_n3, N176,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176" s="23"/>
      <c r="Q176" s="23" t="s">
        <v>57</v>
      </c>
      <c r="R176" s="27"/>
      <c r="S176" s="27"/>
      <c r="T176" s="23">
        <v>50639017</v>
      </c>
      <c r="U176" s="28">
        <v>6110161257143</v>
      </c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 t="s">
        <v>41</v>
      </c>
      <c r="AN176" s="23"/>
      <c r="AO176" s="23"/>
      <c r="AP176" s="23" t="s">
        <v>58</v>
      </c>
      <c r="AQ176" s="23"/>
      <c r="AR176" s="23"/>
      <c r="AS176" s="23" t="str">
        <f>IF(AND(AN176="Yes", AO176="Yes", AP176="Yes"), "Yes", IF(AND(AN176="", AO176="", AP176=""), "No", "Incomplete"))</f>
        <v>Incomplete</v>
      </c>
      <c r="AT176" s="29" t="str">
        <f t="shared" si="23"/>
        <v>Yes</v>
      </c>
      <c r="AU176" s="30"/>
      <c r="AV176" s="31"/>
      <c r="AW176" s="31" t="s">
        <v>59</v>
      </c>
      <c r="AX176" s="2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</row>
    <row r="177" spans="1:74" x14ac:dyDescent="0.25">
      <c r="A177" s="25">
        <v>174</v>
      </c>
      <c r="B177" s="23" t="s">
        <v>600</v>
      </c>
      <c r="C177" s="23" t="s">
        <v>598</v>
      </c>
      <c r="D177" s="26" t="s">
        <v>601</v>
      </c>
      <c r="E177" s="23">
        <v>15</v>
      </c>
      <c r="F177" s="23" t="s">
        <v>602</v>
      </c>
      <c r="G177" s="23">
        <f>VLOOKUP(C177,[2]Sheet2!$T$3:$V$92,3,FALSE)</f>
        <v>43</v>
      </c>
      <c r="H177" s="23" t="s">
        <v>68</v>
      </c>
      <c r="I177" s="23" t="s">
        <v>436</v>
      </c>
      <c r="J177" s="23"/>
      <c r="K177" s="6">
        <v>0</v>
      </c>
      <c r="L177" s="23"/>
      <c r="M177" s="23"/>
      <c r="N177" s="23"/>
      <c r="O177" s="23" t="e">
        <f>IF(DATEVALUE(MID(N177,15,10))-DATEVALUE(LEFT(N177,10))+1&gt;=365,"1 Year",
DATEDIF(DATEVALUE(LEFT(N177,10)),DATEVALUE(MID(N177,15,10)),"Y")&amp;" Years, "&amp;DATEDIF(DATEVALUE(LEFT(N177,10)),DATEVALUE(MID(N177,15,10)),"YM")&amp;" Months, "&amp;DATEDIF(DATEVALUE(LEFT(N177,10)),DATEVALUE(MID(N177,15,10)),"MD")&amp;" Days")</f>
        <v>#VALUE!</v>
      </c>
      <c r="P177" s="23"/>
      <c r="Q177" s="23"/>
      <c r="R177" s="27"/>
      <c r="S177" s="27"/>
      <c r="T177" s="23">
        <v>50219686</v>
      </c>
      <c r="U177" s="28">
        <v>4220104102739</v>
      </c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 t="s">
        <v>40</v>
      </c>
      <c r="AN177" s="39" t="s">
        <v>58</v>
      </c>
      <c r="AO177" s="39" t="s">
        <v>58</v>
      </c>
      <c r="AP177" s="23"/>
      <c r="AQ177" s="23"/>
      <c r="AR177" s="23"/>
      <c r="AS177" s="23" t="str">
        <f>IF(AND(AN177="Yes", AO177="Yes", AP177="Yes"), "Yes", IF(AND(AN177="", AO177="", AP177=""), "No", "Incomplete"))</f>
        <v>Incomplete</v>
      </c>
      <c r="AT177" s="29" t="str">
        <f t="shared" si="23"/>
        <v>Yes</v>
      </c>
      <c r="AU177" s="30"/>
      <c r="AV177" s="31" t="s">
        <v>64</v>
      </c>
      <c r="AW177" s="31"/>
      <c r="AX177" s="2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</row>
    <row r="178" spans="1:74" x14ac:dyDescent="0.25">
      <c r="A178" s="25">
        <v>175</v>
      </c>
      <c r="B178" s="23" t="s">
        <v>603</v>
      </c>
      <c r="C178" s="23" t="s">
        <v>598</v>
      </c>
      <c r="D178" s="26" t="s">
        <v>604</v>
      </c>
      <c r="E178" s="23">
        <v>4</v>
      </c>
      <c r="F178" s="23" t="s">
        <v>605</v>
      </c>
      <c r="G178" s="23">
        <f>VLOOKUP(C178,[2]Sheet2!$T$3:$V$92,3,FALSE)</f>
        <v>43</v>
      </c>
      <c r="H178" s="23" t="s">
        <v>68</v>
      </c>
      <c r="I178" s="23" t="s">
        <v>436</v>
      </c>
      <c r="J178" s="23"/>
      <c r="K178" s="6">
        <v>0.5</v>
      </c>
      <c r="L178" s="23" t="s">
        <v>564</v>
      </c>
      <c r="M178" s="23"/>
      <c r="N178" s="23"/>
      <c r="O178" s="23" t="e">
        <f>IF(DATEVALUE(MID(N178,15,10))-DATEVALUE(LEFT(N178,10))+1&gt;=365,"1 Year",
DATEDIF(DATEVALUE(LEFT(N178,10)),DATEVALUE(MID(N178,15,10)),"Y")&amp;" Years, "&amp;DATEDIF(DATEVALUE(LEFT(N178,10)),DATEVALUE(MID(N178,15,10)),"YM")&amp;" Months, "&amp;DATEDIF(DATEVALUE(LEFT(N178,10)),DATEVALUE(MID(N178,15,10)),"MD")&amp;" Days")</f>
        <v>#VALUE!</v>
      </c>
      <c r="P178" s="23"/>
      <c r="Q178" s="23"/>
      <c r="R178" s="27"/>
      <c r="S178" s="27"/>
      <c r="T178" s="23">
        <v>50702088</v>
      </c>
      <c r="U178" s="28">
        <v>4550503756441</v>
      </c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 t="s">
        <v>73</v>
      </c>
      <c r="AN178" s="23"/>
      <c r="AO178" s="23"/>
      <c r="AP178" s="23"/>
      <c r="AQ178" s="23"/>
      <c r="AR178" s="23"/>
      <c r="AS178" s="23" t="str">
        <f>IF(AND(AN178="Yes"), "Yes", IF(AND(AN178=""), "No", "Incomplete"))</f>
        <v>No</v>
      </c>
      <c r="AT178" s="29" t="str">
        <f t="shared" si="23"/>
        <v>NA</v>
      </c>
      <c r="AU178" s="30"/>
      <c r="AV178" s="31"/>
      <c r="AW178" s="31" t="s">
        <v>59</v>
      </c>
      <c r="AX178" s="2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</row>
    <row r="179" spans="1:74" ht="28.5" x14ac:dyDescent="0.25">
      <c r="A179" s="25">
        <v>295</v>
      </c>
      <c r="B179" s="23" t="s">
        <v>606</v>
      </c>
      <c r="C179" s="23" t="s">
        <v>607</v>
      </c>
      <c r="D179" s="26" t="s">
        <v>608</v>
      </c>
      <c r="E179" s="23">
        <v>18</v>
      </c>
      <c r="F179" s="23" t="s">
        <v>440</v>
      </c>
      <c r="G179" s="23">
        <f>VLOOKUP(C179,[2]Sheet2!$T$3:$V$92,3,FALSE)</f>
        <v>44</v>
      </c>
      <c r="H179" s="23" t="s">
        <v>54</v>
      </c>
      <c r="I179" s="23" t="s">
        <v>436</v>
      </c>
      <c r="J179" s="23"/>
      <c r="L179" s="23"/>
      <c r="M179" s="23"/>
      <c r="N179" s="23" t="s">
        <v>609</v>
      </c>
      <c r="O179" s="23" t="e">
        <f ca="1">IF(ISNUMBER(SEARCH("to", N179)),
_xlfn.LET(
    _xlpm.text_n3, N179,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179" s="23"/>
      <c r="Q179" s="23" t="s">
        <v>57</v>
      </c>
      <c r="R179" s="27"/>
      <c r="S179" s="27">
        <v>45957</v>
      </c>
      <c r="T179" s="23">
        <v>50271342</v>
      </c>
      <c r="U179" s="28">
        <v>4130315340063</v>
      </c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 t="s">
        <v>42</v>
      </c>
      <c r="AN179" s="23"/>
      <c r="AO179" s="23"/>
      <c r="AP179" s="23"/>
      <c r="AQ179" s="23" t="s">
        <v>58</v>
      </c>
      <c r="AR179" s="23"/>
      <c r="AS179" s="23" t="str">
        <f t="shared" ref="AS179:AS184" si="24">IF(AND(AN179="Yes", AO179="Yes", AP179="Yes"), "Yes", IF(AND(AN179="", AO179="", AP179=""), "No", "Incomplete"))</f>
        <v>No</v>
      </c>
      <c r="AT179" s="29" t="str">
        <f t="shared" si="23"/>
        <v>Yes</v>
      </c>
      <c r="AU179" s="30"/>
      <c r="AV179" s="31"/>
      <c r="AW179" s="31" t="s">
        <v>59</v>
      </c>
      <c r="AX179" s="2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</row>
    <row r="180" spans="1:74" x14ac:dyDescent="0.25">
      <c r="A180" s="25">
        <v>177</v>
      </c>
      <c r="B180" s="23" t="s">
        <v>610</v>
      </c>
      <c r="C180" s="23" t="s">
        <v>607</v>
      </c>
      <c r="D180" s="26" t="s">
        <v>611</v>
      </c>
      <c r="E180" s="23">
        <v>17</v>
      </c>
      <c r="F180" s="23" t="s">
        <v>586</v>
      </c>
      <c r="G180" s="23">
        <f>VLOOKUP(C180,[2]Sheet2!$T$3:$V$92,3,FALSE)</f>
        <v>44</v>
      </c>
      <c r="H180" s="23" t="s">
        <v>54</v>
      </c>
      <c r="I180" s="23" t="s">
        <v>436</v>
      </c>
      <c r="J180" s="23"/>
      <c r="L180" s="23"/>
      <c r="M180" s="23"/>
      <c r="N180" s="23" t="s">
        <v>56</v>
      </c>
      <c r="O180" s="23" t="e">
        <f ca="1">IF(ISNUMBER(SEARCH("to", N180)),
_xlfn.LET(
    _xlpm.text_n3, N180,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180" s="23"/>
      <c r="Q180" s="23" t="s">
        <v>57</v>
      </c>
      <c r="R180" s="27"/>
      <c r="S180" s="27"/>
      <c r="T180" s="23">
        <v>50170918</v>
      </c>
      <c r="U180" s="28">
        <v>4550461803911</v>
      </c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 t="s">
        <v>42</v>
      </c>
      <c r="AN180" s="23" t="s">
        <v>58</v>
      </c>
      <c r="AO180" s="23" t="s">
        <v>58</v>
      </c>
      <c r="AP180" s="23" t="s">
        <v>58</v>
      </c>
      <c r="AQ180" s="23" t="s">
        <v>58</v>
      </c>
      <c r="AR180" s="23" t="s">
        <v>612</v>
      </c>
      <c r="AS180" s="23" t="str">
        <f t="shared" si="24"/>
        <v>Yes</v>
      </c>
      <c r="AT180" s="29" t="str">
        <f t="shared" si="23"/>
        <v>Yes</v>
      </c>
      <c r="AU180" s="30"/>
      <c r="AV180" s="31"/>
      <c r="AW180" s="31" t="s">
        <v>59</v>
      </c>
      <c r="AX180" s="2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</row>
    <row r="181" spans="1:74" x14ac:dyDescent="0.25">
      <c r="A181" s="25">
        <v>178</v>
      </c>
      <c r="B181" s="23" t="s">
        <v>613</v>
      </c>
      <c r="C181" s="23" t="s">
        <v>607</v>
      </c>
      <c r="D181" s="26" t="s">
        <v>614</v>
      </c>
      <c r="E181" s="23">
        <v>16</v>
      </c>
      <c r="F181" s="23" t="s">
        <v>67</v>
      </c>
      <c r="G181" s="23">
        <f>VLOOKUP(C181,[2]Sheet2!$T$3:$V$92,3,FALSE)</f>
        <v>44</v>
      </c>
      <c r="H181" s="23" t="s">
        <v>68</v>
      </c>
      <c r="I181" s="23" t="s">
        <v>436</v>
      </c>
      <c r="J181" s="23"/>
      <c r="K181" s="6">
        <v>0.8</v>
      </c>
      <c r="L181" s="23" t="s">
        <v>574</v>
      </c>
      <c r="M181" s="23"/>
      <c r="N181" s="23"/>
      <c r="O181" s="23" t="e">
        <f t="shared" ref="O181:O192" si="25">IF(DATEVALUE(MID(N181,15,10))-DATEVALUE(LEFT(N181,10))+1&gt;=365,"1 Year",
DATEDIF(DATEVALUE(LEFT(N181,10)),DATEVALUE(MID(N181,15,10)),"Y")&amp;" Years, "&amp;DATEDIF(DATEVALUE(LEFT(N181,10)),DATEVALUE(MID(N181,15,10)),"YM")&amp;" Months, "&amp;DATEDIF(DATEVALUE(LEFT(N181,10)),DATEVALUE(MID(N181,15,10)),"MD")&amp;" Days")</f>
        <v>#VALUE!</v>
      </c>
      <c r="P181" s="23"/>
      <c r="Q181" s="23"/>
      <c r="R181" s="27"/>
      <c r="S181" s="27"/>
      <c r="T181" s="23">
        <v>10402655</v>
      </c>
      <c r="U181" s="28">
        <v>4310224707053</v>
      </c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 t="s">
        <v>41</v>
      </c>
      <c r="AN181" s="23" t="s">
        <v>58</v>
      </c>
      <c r="AO181" s="23" t="s">
        <v>58</v>
      </c>
      <c r="AP181" s="32" t="s">
        <v>58</v>
      </c>
      <c r="AQ181" s="23"/>
      <c r="AR181" s="23"/>
      <c r="AS181" s="23" t="str">
        <f t="shared" si="24"/>
        <v>Yes</v>
      </c>
      <c r="AT181" s="29" t="str">
        <f t="shared" si="23"/>
        <v>Yes</v>
      </c>
      <c r="AU181" s="30"/>
      <c r="AV181" s="31"/>
      <c r="AW181" s="31" t="s">
        <v>59</v>
      </c>
      <c r="AX181" s="2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</row>
    <row r="182" spans="1:74" x14ac:dyDescent="0.25">
      <c r="A182" s="25">
        <v>179</v>
      </c>
      <c r="B182" s="23" t="s">
        <v>615</v>
      </c>
      <c r="C182" s="23" t="s">
        <v>607</v>
      </c>
      <c r="D182" s="26" t="s">
        <v>616</v>
      </c>
      <c r="E182" s="23">
        <v>15</v>
      </c>
      <c r="F182" s="23" t="s">
        <v>108</v>
      </c>
      <c r="G182" s="23">
        <f>VLOOKUP(C182,[2]Sheet2!$T$3:$V$92,3,FALSE)</f>
        <v>44</v>
      </c>
      <c r="H182" s="23" t="s">
        <v>68</v>
      </c>
      <c r="I182" s="23" t="s">
        <v>436</v>
      </c>
      <c r="J182" s="23"/>
      <c r="K182" s="6">
        <v>0.4</v>
      </c>
      <c r="L182" s="23" t="s">
        <v>564</v>
      </c>
      <c r="M182" s="23"/>
      <c r="N182" s="23"/>
      <c r="O182" s="23" t="e">
        <f t="shared" si="25"/>
        <v>#VALUE!</v>
      </c>
      <c r="P182" s="23"/>
      <c r="Q182" s="23"/>
      <c r="R182" s="27"/>
      <c r="S182" s="27"/>
      <c r="T182" s="23">
        <v>50173189</v>
      </c>
      <c r="U182" s="28">
        <v>4550503591821</v>
      </c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 t="s">
        <v>42</v>
      </c>
      <c r="AN182" s="23" t="s">
        <v>58</v>
      </c>
      <c r="AO182" s="23" t="s">
        <v>58</v>
      </c>
      <c r="AP182" s="32" t="s">
        <v>58</v>
      </c>
      <c r="AQ182" s="32" t="s">
        <v>58</v>
      </c>
      <c r="AR182" s="23" t="s">
        <v>617</v>
      </c>
      <c r="AS182" s="23" t="str">
        <f t="shared" si="24"/>
        <v>Yes</v>
      </c>
      <c r="AT182" s="29" t="str">
        <f t="shared" si="23"/>
        <v>Yes</v>
      </c>
      <c r="AU182" s="30"/>
      <c r="AV182" s="31"/>
      <c r="AW182" s="31" t="s">
        <v>59</v>
      </c>
      <c r="AX182" s="2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</row>
    <row r="183" spans="1:74" x14ac:dyDescent="0.25">
      <c r="A183" s="25">
        <v>180</v>
      </c>
      <c r="B183" s="23" t="s">
        <v>618</v>
      </c>
      <c r="C183" s="23" t="s">
        <v>607</v>
      </c>
      <c r="D183" s="26" t="s">
        <v>619</v>
      </c>
      <c r="E183" s="23">
        <v>15</v>
      </c>
      <c r="F183" s="23" t="s">
        <v>108</v>
      </c>
      <c r="G183" s="23">
        <f>VLOOKUP(C183,[2]Sheet2!$T$3:$V$92,3,FALSE)</f>
        <v>44</v>
      </c>
      <c r="H183" s="23" t="s">
        <v>68</v>
      </c>
      <c r="I183" s="23" t="s">
        <v>436</v>
      </c>
      <c r="J183" s="23"/>
      <c r="K183" s="6">
        <v>0.8</v>
      </c>
      <c r="L183" s="23" t="s">
        <v>574</v>
      </c>
      <c r="M183" s="23"/>
      <c r="N183" s="23"/>
      <c r="O183" s="23" t="e">
        <f t="shared" si="25"/>
        <v>#VALUE!</v>
      </c>
      <c r="P183" s="23"/>
      <c r="Q183" s="23"/>
      <c r="R183" s="27"/>
      <c r="S183" s="27"/>
      <c r="T183" s="23">
        <v>50698867</v>
      </c>
      <c r="U183" s="28">
        <v>4350404245283</v>
      </c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 t="s">
        <v>41</v>
      </c>
      <c r="AN183" s="23"/>
      <c r="AO183" s="23"/>
      <c r="AP183" s="23" t="s">
        <v>58</v>
      </c>
      <c r="AQ183" s="23"/>
      <c r="AR183" s="23"/>
      <c r="AS183" s="23" t="str">
        <f t="shared" si="24"/>
        <v>Incomplete</v>
      </c>
      <c r="AT183" s="29" t="str">
        <f t="shared" si="23"/>
        <v>Yes</v>
      </c>
      <c r="AU183" s="30"/>
      <c r="AV183" s="31"/>
      <c r="AW183" s="31" t="s">
        <v>59</v>
      </c>
      <c r="AX183" s="2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</row>
    <row r="184" spans="1:74" x14ac:dyDescent="0.25">
      <c r="A184" s="25">
        <v>181</v>
      </c>
      <c r="B184" s="23" t="s">
        <v>620</v>
      </c>
      <c r="C184" s="23" t="s">
        <v>607</v>
      </c>
      <c r="D184" s="26" t="s">
        <v>621</v>
      </c>
      <c r="E184" s="23">
        <v>15</v>
      </c>
      <c r="F184" s="23" t="s">
        <v>108</v>
      </c>
      <c r="G184" s="23">
        <f>VLOOKUP(C184,[2]Sheet2!$T$3:$V$92,3,FALSE)</f>
        <v>44</v>
      </c>
      <c r="H184" s="23" t="s">
        <v>68</v>
      </c>
      <c r="I184" s="23" t="s">
        <v>436</v>
      </c>
      <c r="J184" s="23"/>
      <c r="K184" s="6">
        <v>0.8</v>
      </c>
      <c r="L184" s="23" t="s">
        <v>574</v>
      </c>
      <c r="M184" s="23"/>
      <c r="N184" s="23"/>
      <c r="O184" s="23" t="e">
        <f t="shared" si="25"/>
        <v>#VALUE!</v>
      </c>
      <c r="P184" s="23"/>
      <c r="Q184" s="23"/>
      <c r="R184" s="27"/>
      <c r="S184" s="27"/>
      <c r="T184" s="23">
        <v>50702089</v>
      </c>
      <c r="U184" s="28">
        <v>4550182198039</v>
      </c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 t="s">
        <v>41</v>
      </c>
      <c r="AN184" s="32" t="s">
        <v>58</v>
      </c>
      <c r="AO184" s="32" t="s">
        <v>58</v>
      </c>
      <c r="AP184" s="32" t="s">
        <v>58</v>
      </c>
      <c r="AQ184" s="23"/>
      <c r="AR184" s="23"/>
      <c r="AS184" s="23" t="str">
        <f t="shared" si="24"/>
        <v>Yes</v>
      </c>
      <c r="AT184" s="29" t="str">
        <f t="shared" si="23"/>
        <v>Yes</v>
      </c>
      <c r="AU184" s="30"/>
      <c r="AV184" s="31"/>
      <c r="AW184" s="31" t="s">
        <v>59</v>
      </c>
      <c r="AX184" s="2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</row>
    <row r="185" spans="1:74" x14ac:dyDescent="0.25">
      <c r="A185" s="25">
        <v>182</v>
      </c>
      <c r="B185" s="23" t="s">
        <v>622</v>
      </c>
      <c r="C185" s="23" t="s">
        <v>607</v>
      </c>
      <c r="D185" s="26" t="s">
        <v>623</v>
      </c>
      <c r="E185" s="23">
        <v>13</v>
      </c>
      <c r="F185" s="23" t="s">
        <v>131</v>
      </c>
      <c r="G185" s="23">
        <f>VLOOKUP(C185,[2]Sheet2!$T$3:$V$92,3,FALSE)</f>
        <v>44</v>
      </c>
      <c r="H185" s="23" t="s">
        <v>68</v>
      </c>
      <c r="I185" s="23" t="s">
        <v>436</v>
      </c>
      <c r="J185" s="23"/>
      <c r="K185" s="6">
        <v>0.8</v>
      </c>
      <c r="L185" s="23" t="s">
        <v>574</v>
      </c>
      <c r="M185" s="23"/>
      <c r="N185" s="23"/>
      <c r="O185" s="23" t="e">
        <f t="shared" si="25"/>
        <v>#VALUE!</v>
      </c>
      <c r="P185" s="23"/>
      <c r="Q185" s="23"/>
      <c r="R185" s="27"/>
      <c r="S185" s="27"/>
      <c r="T185" s="23">
        <v>50220094</v>
      </c>
      <c r="U185" s="28">
        <v>4550299725687</v>
      </c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 t="s">
        <v>42</v>
      </c>
      <c r="AN185" s="32" t="s">
        <v>58</v>
      </c>
      <c r="AO185" s="32" t="s">
        <v>58</v>
      </c>
      <c r="AP185" s="32" t="s">
        <v>58</v>
      </c>
      <c r="AQ185" s="32" t="s">
        <v>58</v>
      </c>
      <c r="AR185" s="23"/>
      <c r="AS185" s="23" t="str">
        <f>IF(AND(AN185="Yes", AO185="Yes"), "Yes", IF(AND(AN185="", AO185=""), "No", "Incomplete"))</f>
        <v>Yes</v>
      </c>
      <c r="AT185" s="29" t="str">
        <f>IF(AM185="Matric",IF(AN185="Yes","Yes",IF(AN185="Under Process", "Under Process","No")),IF(AM185="Inter",IF(AO185="Yes","Yes",IF(AO185="Under Process", "Under Process","No")),IF(AM185="Bachelor",IF(AP185="Yes","Yes",IF(AP185="Under Process", "Under Process","No")),IF(AM185="Master",IF(AQ185="Yes","Yes",IF(AQ185="Under Process", "Under Process","No")),IF(AM185="Vacant",IF(D521="Yes","No","Vacant"),IF(AM185="NA",IF(D521="Yes","No","NA"),"No"))))))</f>
        <v>Yes</v>
      </c>
      <c r="AU185" s="30"/>
      <c r="AV185" s="31" t="s">
        <v>64</v>
      </c>
      <c r="AW185" s="31" t="s">
        <v>59</v>
      </c>
      <c r="AX185" s="2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</row>
    <row r="186" spans="1:74" x14ac:dyDescent="0.25">
      <c r="A186" s="25">
        <v>183</v>
      </c>
      <c r="B186" s="23" t="s">
        <v>624</v>
      </c>
      <c r="C186" s="23" t="s">
        <v>607</v>
      </c>
      <c r="D186" s="26" t="s">
        <v>625</v>
      </c>
      <c r="E186" s="23">
        <v>11</v>
      </c>
      <c r="F186" s="23" t="s">
        <v>138</v>
      </c>
      <c r="G186" s="23">
        <f>VLOOKUP(C186,[2]Sheet2!$T$3:$V$92,3,FALSE)</f>
        <v>44</v>
      </c>
      <c r="H186" s="23" t="s">
        <v>68</v>
      </c>
      <c r="I186" s="23" t="s">
        <v>436</v>
      </c>
      <c r="J186" s="23"/>
      <c r="K186" s="6">
        <v>0.8</v>
      </c>
      <c r="L186" s="23" t="s">
        <v>574</v>
      </c>
      <c r="M186" s="23"/>
      <c r="N186" s="23"/>
      <c r="O186" s="23" t="e">
        <f t="shared" si="25"/>
        <v>#VALUE!</v>
      </c>
      <c r="P186" s="23"/>
      <c r="Q186" s="23"/>
      <c r="R186" s="27"/>
      <c r="S186" s="27"/>
      <c r="T186" s="23">
        <v>10441674</v>
      </c>
      <c r="U186" s="28">
        <v>4520337302381</v>
      </c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 t="s">
        <v>41</v>
      </c>
      <c r="AN186" s="23" t="s">
        <v>58</v>
      </c>
      <c r="AO186" s="23" t="s">
        <v>58</v>
      </c>
      <c r="AP186" s="23" t="s">
        <v>58</v>
      </c>
      <c r="AQ186" s="23"/>
      <c r="AR186" s="23"/>
      <c r="AS186" s="23" t="str">
        <f t="shared" ref="AS186:AS192" si="26">IF(AND(AN186="Yes"), "Yes", IF(AND(AN186=""), "No", "Incomplete"))</f>
        <v>Yes</v>
      </c>
      <c r="AT186" s="29" t="str">
        <f t="shared" ref="AT186:AT192" si="27">IF(AM186="Matric",IF(AN186="Yes","Yes",IF(AN186="Under Process", "Under Process","No")),IF(AM186="Inter",IF(AO186="Yes","Yes",IF(AO186="Under Process", "Under Process","No")),IF(AM186="Bachelor",IF(AP186="Yes","Yes",IF(AP186="Under Process", "Under Process","No")),IF(AM186="Master",IF(AQ186="Yes","Yes",IF(AQ186="Under Process", "Under Process","No")),IF(AM186="Vacant",IF(D194="Yes","No","Vacant"),IF(AM186="NA",IF(D194="Yes","No","NA"),"No"))))))</f>
        <v>Yes</v>
      </c>
      <c r="AU186" s="30"/>
      <c r="AV186" s="31"/>
      <c r="AW186" s="31" t="s">
        <v>59</v>
      </c>
      <c r="AX186" s="2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</row>
    <row r="187" spans="1:74" ht="28.5" x14ac:dyDescent="0.25">
      <c r="A187" s="25">
        <v>184</v>
      </c>
      <c r="B187" s="23" t="s">
        <v>626</v>
      </c>
      <c r="C187" s="23" t="s">
        <v>607</v>
      </c>
      <c r="D187" s="26" t="s">
        <v>596</v>
      </c>
      <c r="E187" s="23">
        <v>11</v>
      </c>
      <c r="F187" s="23" t="s">
        <v>138</v>
      </c>
      <c r="G187" s="23">
        <f>VLOOKUP(C187,[2]Sheet2!$T$3:$V$92,3,FALSE)</f>
        <v>44</v>
      </c>
      <c r="H187" s="23" t="s">
        <v>68</v>
      </c>
      <c r="I187" s="23" t="s">
        <v>436</v>
      </c>
      <c r="J187" s="23"/>
      <c r="K187" s="6">
        <v>0.8</v>
      </c>
      <c r="L187" s="23" t="s">
        <v>574</v>
      </c>
      <c r="M187" s="23"/>
      <c r="N187" s="23" t="s">
        <v>95</v>
      </c>
      <c r="O187" s="23" t="str">
        <f t="shared" si="25"/>
        <v>1 Year</v>
      </c>
      <c r="P187" s="23" t="s">
        <v>96</v>
      </c>
      <c r="Q187" s="23" t="s">
        <v>505</v>
      </c>
      <c r="R187" s="27"/>
      <c r="S187" s="27"/>
      <c r="T187" s="23">
        <v>50702091</v>
      </c>
      <c r="U187" s="28">
        <v>4520562927733</v>
      </c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 t="s">
        <v>42</v>
      </c>
      <c r="AN187" s="32" t="s">
        <v>58</v>
      </c>
      <c r="AO187" s="32" t="s">
        <v>58</v>
      </c>
      <c r="AP187" s="32" t="s">
        <v>58</v>
      </c>
      <c r="AQ187" s="23" t="s">
        <v>58</v>
      </c>
      <c r="AR187" s="23"/>
      <c r="AS187" s="23" t="str">
        <f t="shared" si="26"/>
        <v>Yes</v>
      </c>
      <c r="AT187" s="29" t="str">
        <f t="shared" si="27"/>
        <v>Yes</v>
      </c>
      <c r="AU187" s="30"/>
      <c r="AV187" s="31"/>
      <c r="AW187" s="31" t="s">
        <v>59</v>
      </c>
      <c r="AX187" s="2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</row>
    <row r="188" spans="1:74" x14ac:dyDescent="0.25">
      <c r="A188" s="25">
        <v>185</v>
      </c>
      <c r="B188" s="23" t="s">
        <v>627</v>
      </c>
      <c r="C188" s="23" t="s">
        <v>607</v>
      </c>
      <c r="D188" s="26" t="s">
        <v>315</v>
      </c>
      <c r="E188" s="23">
        <v>7</v>
      </c>
      <c r="F188" s="23" t="s">
        <v>264</v>
      </c>
      <c r="G188" s="23">
        <f>VLOOKUP(C188,[2]Sheet2!$T$3:$V$92,3,FALSE)</f>
        <v>44</v>
      </c>
      <c r="H188" s="23" t="s">
        <v>68</v>
      </c>
      <c r="I188" s="23" t="s">
        <v>436</v>
      </c>
      <c r="J188" s="23"/>
      <c r="K188" s="6">
        <v>0.8</v>
      </c>
      <c r="L188" s="23" t="s">
        <v>574</v>
      </c>
      <c r="M188" s="23"/>
      <c r="N188" s="23"/>
      <c r="O188" s="23" t="e">
        <f t="shared" si="25"/>
        <v>#VALUE!</v>
      </c>
      <c r="P188" s="23"/>
      <c r="Q188" s="23"/>
      <c r="R188" s="27"/>
      <c r="S188" s="27"/>
      <c r="T188" s="23">
        <v>10458009</v>
      </c>
      <c r="U188" s="28">
        <v>4330219586311</v>
      </c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 t="s">
        <v>39</v>
      </c>
      <c r="AN188" s="32" t="s">
        <v>58</v>
      </c>
      <c r="AO188" s="23"/>
      <c r="AP188" s="23"/>
      <c r="AQ188" s="23"/>
      <c r="AR188" s="23"/>
      <c r="AS188" s="23" t="str">
        <f t="shared" si="26"/>
        <v>Yes</v>
      </c>
      <c r="AT188" s="29" t="str">
        <f t="shared" si="27"/>
        <v>Yes</v>
      </c>
      <c r="AU188" s="30"/>
      <c r="AV188" s="31"/>
      <c r="AW188" s="31" t="s">
        <v>59</v>
      </c>
      <c r="AX188" s="2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</row>
    <row r="189" spans="1:74" x14ac:dyDescent="0.25">
      <c r="A189" s="25">
        <v>186</v>
      </c>
      <c r="B189" s="23" t="s">
        <v>628</v>
      </c>
      <c r="C189" s="23" t="s">
        <v>607</v>
      </c>
      <c r="D189" s="26" t="s">
        <v>629</v>
      </c>
      <c r="E189" s="23">
        <v>5</v>
      </c>
      <c r="F189" s="23" t="s">
        <v>161</v>
      </c>
      <c r="G189" s="23">
        <f>VLOOKUP(C189,[2]Sheet2!$T$3:$V$92,3,FALSE)</f>
        <v>44</v>
      </c>
      <c r="H189" s="23" t="s">
        <v>68</v>
      </c>
      <c r="I189" s="23" t="s">
        <v>436</v>
      </c>
      <c r="J189" s="23"/>
      <c r="K189" s="6">
        <v>0.8</v>
      </c>
      <c r="L189" s="23" t="s">
        <v>574</v>
      </c>
      <c r="M189" s="43" t="s">
        <v>581</v>
      </c>
      <c r="N189" s="43"/>
      <c r="O189" s="23" t="e">
        <f t="shared" si="25"/>
        <v>#VALUE!</v>
      </c>
      <c r="P189" s="43"/>
      <c r="Q189" s="43"/>
      <c r="R189" s="44">
        <v>37567</v>
      </c>
      <c r="S189" s="44">
        <v>37660</v>
      </c>
      <c r="T189" s="23">
        <v>10203205</v>
      </c>
      <c r="U189" s="28">
        <v>4550412078655</v>
      </c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 t="s">
        <v>39</v>
      </c>
      <c r="AN189" s="23" t="s">
        <v>58</v>
      </c>
      <c r="AO189" s="23"/>
      <c r="AP189" s="23"/>
      <c r="AQ189" s="23"/>
      <c r="AR189" s="23"/>
      <c r="AS189" s="23" t="str">
        <f t="shared" si="26"/>
        <v>Yes</v>
      </c>
      <c r="AT189" s="29" t="str">
        <f t="shared" si="27"/>
        <v>Yes</v>
      </c>
      <c r="AU189" s="30"/>
      <c r="AV189" s="31"/>
      <c r="AW189" s="31" t="s">
        <v>59</v>
      </c>
      <c r="AX189" s="2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</row>
    <row r="190" spans="1:74" x14ac:dyDescent="0.25">
      <c r="A190" s="25">
        <v>187</v>
      </c>
      <c r="B190" s="23" t="s">
        <v>630</v>
      </c>
      <c r="C190" s="23" t="s">
        <v>607</v>
      </c>
      <c r="D190" s="26" t="s">
        <v>66</v>
      </c>
      <c r="E190" s="23">
        <v>5</v>
      </c>
      <c r="F190" s="23" t="s">
        <v>71</v>
      </c>
      <c r="G190" s="23">
        <f>VLOOKUP(C190,[2]Sheet2!$T$3:$V$92,3,FALSE)</f>
        <v>44</v>
      </c>
      <c r="H190" s="23" t="s">
        <v>68</v>
      </c>
      <c r="I190" s="23" t="s">
        <v>436</v>
      </c>
      <c r="J190" s="23"/>
      <c r="L190" s="23"/>
      <c r="M190" s="23"/>
      <c r="N190" s="23"/>
      <c r="O190" s="23" t="e">
        <f t="shared" si="25"/>
        <v>#VALUE!</v>
      </c>
      <c r="P190" s="23"/>
      <c r="Q190" s="23"/>
      <c r="R190" s="27"/>
      <c r="S190" s="27"/>
      <c r="T190" s="23"/>
      <c r="U190" s="28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 t="s">
        <v>73</v>
      </c>
      <c r="AN190" s="23"/>
      <c r="AO190" s="23"/>
      <c r="AP190" s="23"/>
      <c r="AQ190" s="23"/>
      <c r="AR190" s="23"/>
      <c r="AS190" s="23" t="str">
        <f t="shared" si="26"/>
        <v>No</v>
      </c>
      <c r="AT190" s="29" t="str">
        <f t="shared" si="27"/>
        <v>NA</v>
      </c>
      <c r="AU190" s="30"/>
      <c r="AV190" s="31"/>
      <c r="AW190" s="31"/>
      <c r="AX190" s="2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</row>
    <row r="191" spans="1:74" x14ac:dyDescent="0.25">
      <c r="A191" s="25">
        <v>188</v>
      </c>
      <c r="B191" s="23" t="s">
        <v>631</v>
      </c>
      <c r="C191" s="23" t="s">
        <v>607</v>
      </c>
      <c r="D191" s="26" t="s">
        <v>632</v>
      </c>
      <c r="E191" s="23">
        <v>4</v>
      </c>
      <c r="F191" s="23" t="s">
        <v>161</v>
      </c>
      <c r="G191" s="23">
        <f>VLOOKUP(C191,[2]Sheet2!$T$3:$V$92,3,FALSE)</f>
        <v>44</v>
      </c>
      <c r="H191" s="23" t="s">
        <v>68</v>
      </c>
      <c r="I191" s="23" t="s">
        <v>436</v>
      </c>
      <c r="J191" s="23"/>
      <c r="K191" s="6">
        <v>0.2</v>
      </c>
      <c r="L191" s="23" t="s">
        <v>633</v>
      </c>
      <c r="M191" s="63" t="s">
        <v>634</v>
      </c>
      <c r="N191" s="63"/>
      <c r="O191" s="23" t="e">
        <f t="shared" si="25"/>
        <v>#VALUE!</v>
      </c>
      <c r="P191" s="63"/>
      <c r="Q191" s="63"/>
      <c r="R191" s="64">
        <v>41456</v>
      </c>
      <c r="S191" s="64">
        <v>41456</v>
      </c>
      <c r="T191" s="23">
        <v>50186210</v>
      </c>
      <c r="U191" s="28">
        <v>4520415541279</v>
      </c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 t="s">
        <v>40</v>
      </c>
      <c r="AN191" s="23" t="s">
        <v>58</v>
      </c>
      <c r="AO191" s="39" t="s">
        <v>58</v>
      </c>
      <c r="AP191" s="23"/>
      <c r="AQ191" s="23"/>
      <c r="AR191" s="23"/>
      <c r="AS191" s="23" t="str">
        <f t="shared" si="26"/>
        <v>Yes</v>
      </c>
      <c r="AT191" s="29" t="str">
        <f t="shared" si="27"/>
        <v>Yes</v>
      </c>
      <c r="AU191" s="30"/>
      <c r="AV191" s="31"/>
      <c r="AW191" s="31" t="s">
        <v>59</v>
      </c>
      <c r="AX191" s="2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</row>
    <row r="192" spans="1:74" x14ac:dyDescent="0.25">
      <c r="A192" s="25">
        <v>189</v>
      </c>
      <c r="B192" s="23" t="s">
        <v>635</v>
      </c>
      <c r="C192" s="23" t="s">
        <v>607</v>
      </c>
      <c r="D192" s="26" t="s">
        <v>636</v>
      </c>
      <c r="E192" s="23">
        <v>4</v>
      </c>
      <c r="F192" s="23" t="s">
        <v>71</v>
      </c>
      <c r="G192" s="23">
        <f>VLOOKUP(C192,[2]Sheet2!$T$3:$V$92,3,FALSE)</f>
        <v>44</v>
      </c>
      <c r="H192" s="23" t="s">
        <v>68</v>
      </c>
      <c r="I192" s="23" t="s">
        <v>436</v>
      </c>
      <c r="J192" s="23"/>
      <c r="K192" s="6">
        <v>0.5</v>
      </c>
      <c r="L192" s="23" t="s">
        <v>564</v>
      </c>
      <c r="M192" s="23"/>
      <c r="N192" s="23"/>
      <c r="O192" s="23" t="e">
        <f t="shared" si="25"/>
        <v>#VALUE!</v>
      </c>
      <c r="P192" s="23"/>
      <c r="Q192" s="23"/>
      <c r="R192" s="27"/>
      <c r="S192" s="27"/>
      <c r="T192" s="23">
        <v>50562703</v>
      </c>
      <c r="U192" s="28">
        <v>4330355478383</v>
      </c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 t="s">
        <v>40</v>
      </c>
      <c r="AN192" s="23" t="s">
        <v>58</v>
      </c>
      <c r="AO192" s="23" t="s">
        <v>58</v>
      </c>
      <c r="AP192" s="23"/>
      <c r="AQ192" s="23"/>
      <c r="AR192" s="23"/>
      <c r="AS192" s="23" t="str">
        <f t="shared" si="26"/>
        <v>Yes</v>
      </c>
      <c r="AT192" s="29" t="str">
        <f t="shared" si="27"/>
        <v>Yes</v>
      </c>
      <c r="AU192" s="30"/>
      <c r="AV192" s="31"/>
      <c r="AW192" s="31" t="s">
        <v>59</v>
      </c>
      <c r="AX192" s="2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</row>
    <row r="193" spans="1:74" x14ac:dyDescent="0.25">
      <c r="A193" s="25">
        <v>190</v>
      </c>
      <c r="B193" s="23" t="s">
        <v>637</v>
      </c>
      <c r="C193" s="23" t="s">
        <v>638</v>
      </c>
      <c r="D193" s="26" t="s">
        <v>639</v>
      </c>
      <c r="E193" s="23">
        <v>18</v>
      </c>
      <c r="F193" s="23" t="s">
        <v>640</v>
      </c>
      <c r="G193" s="23">
        <f>VLOOKUP(C193,[2]Sheet2!$T$3:$V$92,3,FALSE)</f>
        <v>45</v>
      </c>
      <c r="H193" s="23" t="s">
        <v>54</v>
      </c>
      <c r="I193" s="23" t="s">
        <v>436</v>
      </c>
      <c r="J193" s="23"/>
      <c r="L193" s="23"/>
      <c r="M193" s="23"/>
      <c r="N193" s="23" t="s">
        <v>56</v>
      </c>
      <c r="O193" s="23" t="e">
        <f ca="1">IF(ISNUMBER(SEARCH("to", N193)),
_xlfn.LET(
    _xlpm.text_n3, N193,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193" s="23"/>
      <c r="Q193" s="23" t="s">
        <v>57</v>
      </c>
      <c r="R193" s="27"/>
      <c r="S193" s="27"/>
      <c r="T193" s="23">
        <v>50626289</v>
      </c>
      <c r="U193" s="28">
        <v>4550126675313</v>
      </c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 t="s">
        <v>41</v>
      </c>
      <c r="AN193" s="23" t="s">
        <v>58</v>
      </c>
      <c r="AO193" s="23" t="s">
        <v>58</v>
      </c>
      <c r="AP193" s="23" t="s">
        <v>58</v>
      </c>
      <c r="AQ193" s="23"/>
      <c r="AR193" s="23"/>
      <c r="AS193" s="23" t="str">
        <f t="shared" ref="AS193:AS198" si="28">IF(AND(AN193="Yes", AO193="Yes", AP193="Yes"), "Yes", IF(AND(AN193="", AO193="", AP193=""), "No", "Incomplete"))</f>
        <v>Yes</v>
      </c>
      <c r="AT193" s="29" t="str">
        <f>IF(AM193="Matric",IF(AN193="Yes","Yes",IF(AN193="Under Process", "Under Process","No")),IF(AM193="Inter",IF(AO193="Yes","Yes",IF(AO193="Under Process", "Under Process","No")),IF(AM193="Bachelor",IF(AP193="Yes","Yes",IF(AP193="Under Process", "Under Process","No")),IF(AM193="Master",IF(AQ193="Yes","Yes",IF(AQ193="Under Process", "Under Process","No")),IF(AM193="Vacant",IF(D202="Yes","No","Vacant"),IF(AM193="NA",IF(D202="Yes","No","NA"),"No"))))))</f>
        <v>Yes</v>
      </c>
      <c r="AU193" s="30"/>
      <c r="AV193" s="31"/>
      <c r="AW193" s="31" t="s">
        <v>59</v>
      </c>
      <c r="AX193" s="2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</row>
    <row r="194" spans="1:74" x14ac:dyDescent="0.25">
      <c r="A194" s="25">
        <v>191</v>
      </c>
      <c r="B194" s="23" t="s">
        <v>641</v>
      </c>
      <c r="C194" s="23" t="s">
        <v>638</v>
      </c>
      <c r="D194" s="26" t="s">
        <v>66</v>
      </c>
      <c r="E194" s="23">
        <v>17</v>
      </c>
      <c r="F194" s="23" t="s">
        <v>586</v>
      </c>
      <c r="G194" s="23">
        <f>VLOOKUP(C194,[2]Sheet2!$T$3:$V$92,3,FALSE)</f>
        <v>45</v>
      </c>
      <c r="H194" s="23" t="s">
        <v>54</v>
      </c>
      <c r="I194" s="23" t="s">
        <v>436</v>
      </c>
      <c r="J194" s="23"/>
      <c r="L194" s="23"/>
      <c r="M194" s="28"/>
      <c r="N194" s="28"/>
      <c r="O194" s="23" t="str">
        <f>IF(ISNUMBER(SEARCH("to", N194)),
_xlfn.LET(
    _xlpm.first_line, LEFT(N194, IFERROR(SEARCH(CHAR(10), N194)-1, LEN(N194))),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194" s="28"/>
      <c r="Q194" s="28"/>
      <c r="R194" s="27"/>
      <c r="S194" s="27"/>
      <c r="T194" s="23"/>
      <c r="U194" s="28"/>
      <c r="V194" s="28"/>
      <c r="W194" s="28"/>
      <c r="X194" s="28"/>
      <c r="Y194" s="28"/>
      <c r="Z194" s="23"/>
      <c r="AA194" s="66"/>
      <c r="AB194" s="23"/>
      <c r="AC194" s="23"/>
      <c r="AD194" s="28"/>
      <c r="AE194" s="23"/>
      <c r="AF194" s="23"/>
      <c r="AG194" s="9"/>
      <c r="AH194" s="28"/>
      <c r="AI194" s="67"/>
      <c r="AJ194" s="23"/>
      <c r="AK194" s="23"/>
      <c r="AL194" s="28"/>
      <c r="AM194" s="23" t="s">
        <v>66</v>
      </c>
      <c r="AN194" s="31"/>
      <c r="AO194" s="68"/>
      <c r="AP194" s="31"/>
      <c r="AQ194" s="31"/>
      <c r="AR194" s="31"/>
      <c r="AS194" s="23" t="str">
        <f t="shared" si="28"/>
        <v>No</v>
      </c>
      <c r="AT194" s="29" t="str">
        <f>IF(AM194="Matric",IF(AN194="Yes","Yes",IF(AN194="Under Process", "Under Process","No")),IF(AM194="Inter",IF(AO194="Yes","Yes",IF(AO194="Under Process", "Under Process","No")),IF(AM194="Bachelor",IF(AP194="Yes","Yes",IF(AP194="Under Process", "Under Process","No")),IF(AM194="Master",IF(AQ194="Yes","Yes",IF(AQ194="Under Process", "Under Process","No")),IF(AM194="Vacant",IF(D203="Yes","No","Vacant"),IF(AM194="NA",IF(D203="Yes","No","NA"),"No"))))))</f>
        <v>Vacant</v>
      </c>
      <c r="AU194" s="69"/>
      <c r="AV194" s="31"/>
      <c r="AW194" s="31"/>
      <c r="AX194" s="2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</row>
    <row r="195" spans="1:74" x14ac:dyDescent="0.25">
      <c r="A195" s="25">
        <v>192</v>
      </c>
      <c r="B195" s="23" t="s">
        <v>642</v>
      </c>
      <c r="C195" s="23" t="s">
        <v>638</v>
      </c>
      <c r="D195" s="26" t="s">
        <v>643</v>
      </c>
      <c r="E195" s="23">
        <v>16</v>
      </c>
      <c r="F195" s="23" t="s">
        <v>67</v>
      </c>
      <c r="G195" s="23">
        <f>VLOOKUP(C195,[2]Sheet2!$T$3:$V$92,3,FALSE)</f>
        <v>45</v>
      </c>
      <c r="H195" s="23" t="s">
        <v>68</v>
      </c>
      <c r="I195" s="23" t="s">
        <v>436</v>
      </c>
      <c r="J195" s="23"/>
      <c r="K195" s="6">
        <v>0.5</v>
      </c>
      <c r="L195" s="23" t="s">
        <v>564</v>
      </c>
      <c r="M195" s="23"/>
      <c r="N195" s="23"/>
      <c r="O195" s="23" t="e">
        <f t="shared" ref="O195:O206" si="29">IF(DATEVALUE(MID(N195,15,10))-DATEVALUE(LEFT(N195,10))+1&gt;=365,"1 Year",
DATEDIF(DATEVALUE(LEFT(N195,10)),DATEVALUE(MID(N195,15,10)),"Y")&amp;" Years, "&amp;DATEDIF(DATEVALUE(LEFT(N195,10)),DATEVALUE(MID(N195,15,10)),"YM")&amp;" Months, "&amp;DATEDIF(DATEVALUE(LEFT(N195,10)),DATEVALUE(MID(N195,15,10)),"MD")&amp;" Days")</f>
        <v>#VALUE!</v>
      </c>
      <c r="P195" s="23"/>
      <c r="Q195" s="23"/>
      <c r="R195" s="27"/>
      <c r="S195" s="27"/>
      <c r="T195" s="23">
        <v>10301828</v>
      </c>
      <c r="U195" s="28">
        <v>4550208474595</v>
      </c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 t="s">
        <v>41</v>
      </c>
      <c r="AN195" s="32" t="s">
        <v>58</v>
      </c>
      <c r="AO195" s="32" t="s">
        <v>58</v>
      </c>
      <c r="AP195" s="32" t="s">
        <v>58</v>
      </c>
      <c r="AQ195" s="23"/>
      <c r="AR195" s="23"/>
      <c r="AS195" s="23" t="str">
        <f t="shared" si="28"/>
        <v>Yes</v>
      </c>
      <c r="AT195" s="29" t="str">
        <f t="shared" ref="AT195:AT219" si="30">IF(AM195="Matric",IF(AN195="Yes","Yes",IF(AN195="Under Process", "Under Process","No")),IF(AM195="Inter",IF(AO195="Yes","Yes",IF(AO195="Under Process", "Under Process","No")),IF(AM195="Bachelor",IF(AP195="Yes","Yes",IF(AP195="Under Process", "Under Process","No")),IF(AM195="Master",IF(AQ195="Yes","Yes",IF(AQ195="Under Process", "Under Process","No")),IF(AM195="Vacant",IF(D203="Yes","No","Vacant"),IF(AM195="NA",IF(D203="Yes","No","NA"),"No"))))))</f>
        <v>Yes</v>
      </c>
      <c r="AU195" s="30"/>
      <c r="AV195" s="31"/>
      <c r="AW195" s="31" t="s">
        <v>59</v>
      </c>
      <c r="AX195" s="2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</row>
    <row r="196" spans="1:74" ht="28.5" x14ac:dyDescent="0.25">
      <c r="A196" s="25">
        <v>193</v>
      </c>
      <c r="B196" s="23" t="s">
        <v>644</v>
      </c>
      <c r="C196" s="23" t="s">
        <v>638</v>
      </c>
      <c r="D196" s="26" t="s">
        <v>645</v>
      </c>
      <c r="E196" s="23">
        <v>15</v>
      </c>
      <c r="F196" s="23" t="s">
        <v>108</v>
      </c>
      <c r="G196" s="23">
        <f>VLOOKUP(C196,[2]Sheet2!$T$3:$V$92,3,FALSE)</f>
        <v>45</v>
      </c>
      <c r="H196" s="23" t="s">
        <v>68</v>
      </c>
      <c r="I196" s="23" t="s">
        <v>436</v>
      </c>
      <c r="J196" s="23"/>
      <c r="K196" s="6">
        <v>0.8</v>
      </c>
      <c r="L196" s="23" t="s">
        <v>574</v>
      </c>
      <c r="M196" s="23"/>
      <c r="N196" s="23" t="s">
        <v>95</v>
      </c>
      <c r="O196" s="23" t="str">
        <f t="shared" si="29"/>
        <v>1 Year</v>
      </c>
      <c r="P196" s="23" t="s">
        <v>515</v>
      </c>
      <c r="Q196" s="23" t="s">
        <v>646</v>
      </c>
      <c r="R196" s="27"/>
      <c r="S196" s="27"/>
      <c r="T196" s="23">
        <v>50172570</v>
      </c>
      <c r="U196" s="28">
        <v>4510336873713</v>
      </c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 t="s">
        <v>42</v>
      </c>
      <c r="AN196" s="32" t="s">
        <v>58</v>
      </c>
      <c r="AO196" s="32" t="s">
        <v>58</v>
      </c>
      <c r="AP196" s="32" t="s">
        <v>58</v>
      </c>
      <c r="AQ196" s="32" t="s">
        <v>58</v>
      </c>
      <c r="AR196" s="23"/>
      <c r="AS196" s="23" t="str">
        <f t="shared" si="28"/>
        <v>Yes</v>
      </c>
      <c r="AT196" s="29" t="str">
        <f t="shared" si="30"/>
        <v>Yes</v>
      </c>
      <c r="AU196" s="30"/>
      <c r="AV196" s="31"/>
      <c r="AW196" s="31" t="s">
        <v>59</v>
      </c>
      <c r="AX196" s="2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</row>
    <row r="197" spans="1:74" ht="28.5" x14ac:dyDescent="0.25">
      <c r="A197" s="25">
        <v>194</v>
      </c>
      <c r="B197" s="23" t="s">
        <v>647</v>
      </c>
      <c r="C197" s="23" t="s">
        <v>638</v>
      </c>
      <c r="D197" s="26" t="s">
        <v>648</v>
      </c>
      <c r="E197" s="23">
        <v>15</v>
      </c>
      <c r="F197" s="23" t="s">
        <v>108</v>
      </c>
      <c r="G197" s="23">
        <f>VLOOKUP(C197,[2]Sheet2!$T$3:$V$92,3,FALSE)</f>
        <v>45</v>
      </c>
      <c r="H197" s="23" t="s">
        <v>68</v>
      </c>
      <c r="I197" s="23" t="s">
        <v>436</v>
      </c>
      <c r="J197" s="23"/>
      <c r="K197" s="6">
        <v>0.95</v>
      </c>
      <c r="L197" s="23" t="s">
        <v>574</v>
      </c>
      <c r="M197" s="23"/>
      <c r="N197" s="23" t="s">
        <v>95</v>
      </c>
      <c r="O197" s="23" t="str">
        <f t="shared" si="29"/>
        <v>1 Year</v>
      </c>
      <c r="P197" s="23" t="s">
        <v>515</v>
      </c>
      <c r="Q197" s="23" t="s">
        <v>646</v>
      </c>
      <c r="R197" s="27"/>
      <c r="S197" s="27"/>
      <c r="T197" s="23">
        <v>50679283</v>
      </c>
      <c r="U197" s="28">
        <v>4510332034005</v>
      </c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 t="s">
        <v>41</v>
      </c>
      <c r="AN197" s="32" t="s">
        <v>58</v>
      </c>
      <c r="AO197" s="32" t="s">
        <v>58</v>
      </c>
      <c r="AP197" s="32" t="s">
        <v>58</v>
      </c>
      <c r="AQ197" s="23"/>
      <c r="AR197" s="23"/>
      <c r="AS197" s="23" t="str">
        <f t="shared" si="28"/>
        <v>Yes</v>
      </c>
      <c r="AT197" s="29" t="str">
        <f t="shared" si="30"/>
        <v>Yes</v>
      </c>
      <c r="AU197" s="30"/>
      <c r="AV197" s="31"/>
      <c r="AW197" s="31" t="s">
        <v>59</v>
      </c>
      <c r="AX197" s="2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</row>
    <row r="198" spans="1:74" x14ac:dyDescent="0.25">
      <c r="A198" s="25">
        <v>195</v>
      </c>
      <c r="B198" s="23" t="s">
        <v>649</v>
      </c>
      <c r="C198" s="23" t="s">
        <v>638</v>
      </c>
      <c r="D198" s="41" t="s">
        <v>650</v>
      </c>
      <c r="E198" s="23">
        <v>14</v>
      </c>
      <c r="F198" s="23" t="s">
        <v>108</v>
      </c>
      <c r="G198" s="23">
        <f>VLOOKUP(C198,[2]Sheet2!$T$3:$V$92,3,FALSE)</f>
        <v>45</v>
      </c>
      <c r="H198" s="23" t="s">
        <v>68</v>
      </c>
      <c r="I198" s="23" t="s">
        <v>436</v>
      </c>
      <c r="J198" s="23"/>
      <c r="K198" s="6">
        <v>0.8</v>
      </c>
      <c r="L198" s="23" t="s">
        <v>574</v>
      </c>
      <c r="M198" s="23"/>
      <c r="N198" s="23"/>
      <c r="O198" s="23" t="e">
        <f t="shared" si="29"/>
        <v>#VALUE!</v>
      </c>
      <c r="P198" s="23"/>
      <c r="Q198" s="23"/>
      <c r="R198" s="27">
        <v>45959</v>
      </c>
      <c r="S198" s="27">
        <v>45959</v>
      </c>
      <c r="T198" s="23"/>
      <c r="U198" s="28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 t="s">
        <v>42</v>
      </c>
      <c r="AN198" s="23"/>
      <c r="AO198" s="23"/>
      <c r="AP198" s="32" t="s">
        <v>58</v>
      </c>
      <c r="AQ198" s="23"/>
      <c r="AR198" s="23"/>
      <c r="AS198" s="23" t="str">
        <f t="shared" si="28"/>
        <v>Incomplete</v>
      </c>
      <c r="AT198" s="29" t="str">
        <f t="shared" si="30"/>
        <v>No</v>
      </c>
      <c r="AU198" s="30"/>
      <c r="AV198" s="31"/>
      <c r="AW198" s="31"/>
      <c r="AX198" s="2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</row>
    <row r="199" spans="1:74" x14ac:dyDescent="0.25">
      <c r="A199" s="25">
        <v>196</v>
      </c>
      <c r="B199" s="23" t="s">
        <v>651</v>
      </c>
      <c r="C199" s="23" t="s">
        <v>638</v>
      </c>
      <c r="D199" s="26" t="s">
        <v>652</v>
      </c>
      <c r="E199" s="23">
        <v>13</v>
      </c>
      <c r="F199" s="23" t="s">
        <v>131</v>
      </c>
      <c r="G199" s="23">
        <f>VLOOKUP(C199,[2]Sheet2!$T$3:$V$92,3,FALSE)</f>
        <v>45</v>
      </c>
      <c r="H199" s="23" t="s">
        <v>68</v>
      </c>
      <c r="I199" s="23" t="s">
        <v>436</v>
      </c>
      <c r="J199" s="23"/>
      <c r="K199" s="6">
        <v>0.4</v>
      </c>
      <c r="L199" s="23" t="s">
        <v>564</v>
      </c>
      <c r="M199" s="23"/>
      <c r="N199" s="23"/>
      <c r="O199" s="23" t="e">
        <f t="shared" si="29"/>
        <v>#VALUE!</v>
      </c>
      <c r="P199" s="23"/>
      <c r="Q199" s="23"/>
      <c r="R199" s="27"/>
      <c r="S199" s="27"/>
      <c r="T199" s="23">
        <v>10235005</v>
      </c>
      <c r="U199" s="28">
        <v>4550491928145</v>
      </c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 t="s">
        <v>39</v>
      </c>
      <c r="AN199" s="23" t="s">
        <v>58</v>
      </c>
      <c r="AO199" s="23"/>
      <c r="AP199" s="23"/>
      <c r="AQ199" s="23"/>
      <c r="AR199" s="23"/>
      <c r="AS199" s="23" t="str">
        <f>IF(AND(AN199="Yes", AO199="Yes"), "Yes", IF(AND(AN199="", AO199=""), "No", "Incomplete"))</f>
        <v>Incomplete</v>
      </c>
      <c r="AT199" s="29" t="str">
        <f t="shared" si="30"/>
        <v>Yes</v>
      </c>
      <c r="AU199" s="30"/>
      <c r="AV199" s="31" t="s">
        <v>64</v>
      </c>
      <c r="AW199" s="31" t="s">
        <v>59</v>
      </c>
      <c r="AX199" s="2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</row>
    <row r="200" spans="1:74" x14ac:dyDescent="0.25">
      <c r="A200" s="25">
        <v>197</v>
      </c>
      <c r="B200" s="23" t="s">
        <v>653</v>
      </c>
      <c r="C200" s="23" t="s">
        <v>638</v>
      </c>
      <c r="D200" s="26" t="s">
        <v>654</v>
      </c>
      <c r="E200" s="23">
        <v>11</v>
      </c>
      <c r="F200" s="23" t="s">
        <v>138</v>
      </c>
      <c r="G200" s="23">
        <f>VLOOKUP(C200,[2]Sheet2!$T$3:$V$92,3,FALSE)</f>
        <v>45</v>
      </c>
      <c r="H200" s="23" t="s">
        <v>68</v>
      </c>
      <c r="I200" s="23" t="s">
        <v>436</v>
      </c>
      <c r="J200" s="23"/>
      <c r="K200" s="6">
        <v>0.4</v>
      </c>
      <c r="L200" s="23" t="s">
        <v>564</v>
      </c>
      <c r="M200" s="23"/>
      <c r="N200" s="23"/>
      <c r="O200" s="23" t="e">
        <f t="shared" si="29"/>
        <v>#VALUE!</v>
      </c>
      <c r="P200" s="23"/>
      <c r="Q200" s="23"/>
      <c r="R200" s="27"/>
      <c r="S200" s="27"/>
      <c r="T200" s="23">
        <v>50679209</v>
      </c>
      <c r="U200" s="28">
        <v>4510211593647</v>
      </c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 t="s">
        <v>41</v>
      </c>
      <c r="AN200" s="32" t="s">
        <v>58</v>
      </c>
      <c r="AO200" s="32" t="s">
        <v>58</v>
      </c>
      <c r="AP200" s="32" t="s">
        <v>58</v>
      </c>
      <c r="AQ200" s="23"/>
      <c r="AR200" s="23"/>
      <c r="AS200" s="23" t="str">
        <f t="shared" ref="AS200:AS206" si="31">IF(AND(AN200="Yes"), "Yes", IF(AND(AN200=""), "No", "Incomplete"))</f>
        <v>Yes</v>
      </c>
      <c r="AT200" s="29" t="str">
        <f t="shared" si="30"/>
        <v>Yes</v>
      </c>
      <c r="AU200" s="30"/>
      <c r="AV200" s="31"/>
      <c r="AW200" s="31" t="s">
        <v>59</v>
      </c>
      <c r="AX200" s="2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</row>
    <row r="201" spans="1:74" x14ac:dyDescent="0.25">
      <c r="A201" s="25">
        <v>198</v>
      </c>
      <c r="B201" s="23" t="s">
        <v>655</v>
      </c>
      <c r="C201" s="23" t="s">
        <v>638</v>
      </c>
      <c r="D201" s="41" t="s">
        <v>656</v>
      </c>
      <c r="E201" s="23">
        <v>11</v>
      </c>
      <c r="F201" s="23" t="s">
        <v>138</v>
      </c>
      <c r="G201" s="23">
        <f>VLOOKUP(C201,[2]Sheet2!$T$3:$V$92,3,FALSE)</f>
        <v>45</v>
      </c>
      <c r="H201" s="23" t="s">
        <v>68</v>
      </c>
      <c r="I201" s="23" t="s">
        <v>436</v>
      </c>
      <c r="J201" s="23"/>
      <c r="K201" s="6">
        <v>0.95</v>
      </c>
      <c r="L201" s="23" t="s">
        <v>574</v>
      </c>
      <c r="M201" s="23"/>
      <c r="N201" s="23"/>
      <c r="O201" s="23" t="e">
        <f t="shared" si="29"/>
        <v>#VALUE!</v>
      </c>
      <c r="P201" s="23"/>
      <c r="Q201" s="23"/>
      <c r="R201" s="27"/>
      <c r="S201" s="27"/>
      <c r="T201" s="23">
        <v>50705043</v>
      </c>
      <c r="U201" s="28">
        <v>4550434286927</v>
      </c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 t="s">
        <v>40</v>
      </c>
      <c r="AN201" s="23"/>
      <c r="AO201" s="32" t="s">
        <v>58</v>
      </c>
      <c r="AP201" s="23"/>
      <c r="AQ201" s="23"/>
      <c r="AR201" s="23"/>
      <c r="AS201" s="23" t="str">
        <f t="shared" si="31"/>
        <v>No</v>
      </c>
      <c r="AT201" s="29" t="str">
        <f t="shared" si="30"/>
        <v>Yes</v>
      </c>
      <c r="AU201" s="30"/>
      <c r="AV201" s="31" t="s">
        <v>64</v>
      </c>
      <c r="AW201" s="31"/>
      <c r="AX201" s="2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</row>
    <row r="202" spans="1:74" x14ac:dyDescent="0.25">
      <c r="A202" s="25">
        <v>199</v>
      </c>
      <c r="B202" s="23" t="s">
        <v>657</v>
      </c>
      <c r="C202" s="23" t="s">
        <v>638</v>
      </c>
      <c r="D202" s="26" t="s">
        <v>658</v>
      </c>
      <c r="E202" s="23">
        <v>7</v>
      </c>
      <c r="F202" s="23" t="s">
        <v>264</v>
      </c>
      <c r="G202" s="23">
        <f>VLOOKUP(C202,[2]Sheet2!$T$3:$V$92,3,FALSE)</f>
        <v>45</v>
      </c>
      <c r="H202" s="23" t="s">
        <v>68</v>
      </c>
      <c r="I202" s="23" t="s">
        <v>436</v>
      </c>
      <c r="J202" s="23"/>
      <c r="K202" s="6">
        <v>0.8</v>
      </c>
      <c r="L202" s="23" t="s">
        <v>574</v>
      </c>
      <c r="M202" s="23"/>
      <c r="N202" s="23"/>
      <c r="O202" s="23" t="e">
        <f t="shared" si="29"/>
        <v>#VALUE!</v>
      </c>
      <c r="P202" s="23"/>
      <c r="Q202" s="23"/>
      <c r="R202" s="27"/>
      <c r="S202" s="27"/>
      <c r="T202" s="23">
        <v>10463318</v>
      </c>
      <c r="U202" s="28">
        <v>4520455963353</v>
      </c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 t="s">
        <v>73</v>
      </c>
      <c r="AN202" s="23"/>
      <c r="AO202" s="23"/>
      <c r="AP202" s="23"/>
      <c r="AQ202" s="23"/>
      <c r="AR202" s="23"/>
      <c r="AS202" s="23" t="str">
        <f t="shared" si="31"/>
        <v>No</v>
      </c>
      <c r="AT202" s="29" t="str">
        <f t="shared" si="30"/>
        <v>NA</v>
      </c>
      <c r="AU202" s="30"/>
      <c r="AV202" s="31"/>
      <c r="AW202" s="31" t="s">
        <v>59</v>
      </c>
      <c r="AX202" s="2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</row>
    <row r="203" spans="1:74" x14ac:dyDescent="0.25">
      <c r="A203" s="25">
        <v>200</v>
      </c>
      <c r="B203" s="23" t="s">
        <v>659</v>
      </c>
      <c r="C203" s="23" t="s">
        <v>638</v>
      </c>
      <c r="D203" s="26" t="s">
        <v>660</v>
      </c>
      <c r="E203" s="23">
        <v>5</v>
      </c>
      <c r="F203" s="23" t="s">
        <v>71</v>
      </c>
      <c r="G203" s="23">
        <f>VLOOKUP(C203,[2]Sheet2!$T$3:$V$92,3,FALSE)</f>
        <v>45</v>
      </c>
      <c r="H203" s="23" t="s">
        <v>68</v>
      </c>
      <c r="I203" s="23" t="s">
        <v>436</v>
      </c>
      <c r="J203" s="23"/>
      <c r="K203" s="6">
        <v>0.8</v>
      </c>
      <c r="L203" s="23" t="s">
        <v>574</v>
      </c>
      <c r="M203" s="23"/>
      <c r="N203" s="23"/>
      <c r="O203" s="23" t="e">
        <f t="shared" si="29"/>
        <v>#VALUE!</v>
      </c>
      <c r="P203" s="23"/>
      <c r="Q203" s="23"/>
      <c r="R203" s="27"/>
      <c r="S203" s="27"/>
      <c r="T203" s="23">
        <v>10303657</v>
      </c>
      <c r="U203" s="28">
        <v>4510204037493</v>
      </c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 t="s">
        <v>73</v>
      </c>
      <c r="AN203" s="23"/>
      <c r="AO203" s="23"/>
      <c r="AP203" s="23"/>
      <c r="AQ203" s="23"/>
      <c r="AR203" s="23"/>
      <c r="AS203" s="23" t="str">
        <f t="shared" si="31"/>
        <v>No</v>
      </c>
      <c r="AT203" s="29" t="str">
        <f t="shared" si="30"/>
        <v>NA</v>
      </c>
      <c r="AU203" s="30"/>
      <c r="AV203" s="31"/>
      <c r="AW203" s="31" t="s">
        <v>59</v>
      </c>
      <c r="AX203" s="2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</row>
    <row r="204" spans="1:74" x14ac:dyDescent="0.25">
      <c r="A204" s="25">
        <v>201</v>
      </c>
      <c r="B204" s="23" t="s">
        <v>661</v>
      </c>
      <c r="C204" s="23" t="s">
        <v>638</v>
      </c>
      <c r="D204" s="26" t="s">
        <v>604</v>
      </c>
      <c r="E204" s="23">
        <v>4</v>
      </c>
      <c r="F204" s="23" t="s">
        <v>161</v>
      </c>
      <c r="G204" s="23">
        <f>VLOOKUP(C204,[2]Sheet2!$T$3:$V$92,3,FALSE)</f>
        <v>45</v>
      </c>
      <c r="H204" s="23" t="s">
        <v>68</v>
      </c>
      <c r="I204" s="23" t="s">
        <v>436</v>
      </c>
      <c r="J204" s="23"/>
      <c r="K204" s="6">
        <v>0.75</v>
      </c>
      <c r="L204" s="23" t="s">
        <v>574</v>
      </c>
      <c r="M204" s="63" t="s">
        <v>662</v>
      </c>
      <c r="N204" s="63"/>
      <c r="O204" s="23" t="e">
        <f t="shared" si="29"/>
        <v>#VALUE!</v>
      </c>
      <c r="P204" s="63"/>
      <c r="Q204" s="63"/>
      <c r="R204" s="64">
        <v>41239</v>
      </c>
      <c r="S204" s="64">
        <v>41239</v>
      </c>
      <c r="T204" s="23">
        <v>50158901</v>
      </c>
      <c r="U204" s="28">
        <v>4510214217983</v>
      </c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 t="s">
        <v>40</v>
      </c>
      <c r="AN204" s="32" t="s">
        <v>58</v>
      </c>
      <c r="AO204" s="39" t="s">
        <v>58</v>
      </c>
      <c r="AP204" s="23"/>
      <c r="AQ204" s="23"/>
      <c r="AR204" s="23"/>
      <c r="AS204" s="23" t="str">
        <f t="shared" si="31"/>
        <v>Yes</v>
      </c>
      <c r="AT204" s="29" t="str">
        <f t="shared" si="30"/>
        <v>Yes</v>
      </c>
      <c r="AU204" s="30"/>
      <c r="AV204" s="31"/>
      <c r="AW204" s="31" t="s">
        <v>59</v>
      </c>
      <c r="AX204" s="2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</row>
    <row r="205" spans="1:74" x14ac:dyDescent="0.25">
      <c r="A205" s="25">
        <v>202</v>
      </c>
      <c r="B205" s="23" t="s">
        <v>663</v>
      </c>
      <c r="C205" s="23" t="s">
        <v>638</v>
      </c>
      <c r="D205" s="26" t="s">
        <v>664</v>
      </c>
      <c r="E205" s="23">
        <v>4</v>
      </c>
      <c r="F205" s="23" t="s">
        <v>161</v>
      </c>
      <c r="G205" s="23">
        <f>VLOOKUP(C205,[2]Sheet2!$T$3:$V$92,3,FALSE)</f>
        <v>45</v>
      </c>
      <c r="H205" s="23" t="s">
        <v>68</v>
      </c>
      <c r="I205" s="23" t="s">
        <v>436</v>
      </c>
      <c r="J205" s="23"/>
      <c r="K205" s="6">
        <v>0.8</v>
      </c>
      <c r="L205" s="23" t="s">
        <v>574</v>
      </c>
      <c r="M205" s="63" t="s">
        <v>662</v>
      </c>
      <c r="N205" s="63"/>
      <c r="O205" s="23" t="e">
        <f t="shared" si="29"/>
        <v>#VALUE!</v>
      </c>
      <c r="P205" s="63"/>
      <c r="Q205" s="63"/>
      <c r="R205" s="64">
        <v>41456</v>
      </c>
      <c r="S205" s="64">
        <v>41456</v>
      </c>
      <c r="T205" s="23">
        <v>50185146</v>
      </c>
      <c r="U205" s="28">
        <v>4510425760413</v>
      </c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 t="s">
        <v>40</v>
      </c>
      <c r="AN205" s="32" t="s">
        <v>58</v>
      </c>
      <c r="AO205" s="70" t="s">
        <v>58</v>
      </c>
      <c r="AP205" s="23"/>
      <c r="AQ205" s="23"/>
      <c r="AR205" s="23"/>
      <c r="AS205" s="23" t="str">
        <f t="shared" si="31"/>
        <v>Yes</v>
      </c>
      <c r="AT205" s="29" t="str">
        <f t="shared" si="30"/>
        <v>Yes</v>
      </c>
      <c r="AU205" s="30"/>
      <c r="AV205" s="31"/>
      <c r="AW205" s="31"/>
      <c r="AX205" s="2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</row>
    <row r="206" spans="1:74" x14ac:dyDescent="0.25">
      <c r="A206" s="25">
        <v>203</v>
      </c>
      <c r="B206" s="23" t="s">
        <v>665</v>
      </c>
      <c r="C206" s="23" t="s">
        <v>638</v>
      </c>
      <c r="D206" s="26" t="s">
        <v>666</v>
      </c>
      <c r="E206" s="23">
        <v>4</v>
      </c>
      <c r="F206" s="23" t="s">
        <v>71</v>
      </c>
      <c r="G206" s="23">
        <f>VLOOKUP(C206,[2]Sheet2!$T$3:$V$92,3,FALSE)</f>
        <v>45</v>
      </c>
      <c r="H206" s="23" t="s">
        <v>68</v>
      </c>
      <c r="I206" s="23" t="s">
        <v>436</v>
      </c>
      <c r="J206" s="23"/>
      <c r="K206" s="6">
        <v>0.75</v>
      </c>
      <c r="L206" s="23" t="s">
        <v>574</v>
      </c>
      <c r="M206" s="23"/>
      <c r="N206" s="23"/>
      <c r="O206" s="23" t="e">
        <f t="shared" si="29"/>
        <v>#VALUE!</v>
      </c>
      <c r="P206" s="23"/>
      <c r="Q206" s="23"/>
      <c r="R206" s="27"/>
      <c r="S206" s="27"/>
      <c r="T206" s="23">
        <v>50702132</v>
      </c>
      <c r="U206" s="28">
        <v>4310290520273</v>
      </c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 t="s">
        <v>40</v>
      </c>
      <c r="AN206" s="32" t="s">
        <v>58</v>
      </c>
      <c r="AO206" s="32" t="s">
        <v>58</v>
      </c>
      <c r="AP206" s="23"/>
      <c r="AQ206" s="23"/>
      <c r="AR206" s="23"/>
      <c r="AS206" s="23" t="str">
        <f t="shared" si="31"/>
        <v>Yes</v>
      </c>
      <c r="AT206" s="29" t="str">
        <f t="shared" si="30"/>
        <v>Yes</v>
      </c>
      <c r="AU206" s="30"/>
      <c r="AV206" s="31" t="s">
        <v>64</v>
      </c>
      <c r="AW206" s="31" t="s">
        <v>59</v>
      </c>
      <c r="AX206" s="2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</row>
    <row r="207" spans="1:74" x14ac:dyDescent="0.25">
      <c r="A207" s="25">
        <v>204</v>
      </c>
      <c r="B207" s="23" t="s">
        <v>667</v>
      </c>
      <c r="C207" s="23" t="s">
        <v>668</v>
      </c>
      <c r="D207" s="26" t="s">
        <v>669</v>
      </c>
      <c r="E207" s="23">
        <v>18</v>
      </c>
      <c r="F207" s="23" t="s">
        <v>440</v>
      </c>
      <c r="G207" s="23">
        <f>VLOOKUP(C207,[2]Sheet2!$T$3:$V$92,3,FALSE)</f>
        <v>46</v>
      </c>
      <c r="H207" s="23" t="s">
        <v>54</v>
      </c>
      <c r="I207" s="23" t="s">
        <v>436</v>
      </c>
      <c r="J207" s="23"/>
      <c r="L207" s="23"/>
      <c r="M207" s="23"/>
      <c r="N207" s="23" t="s">
        <v>56</v>
      </c>
      <c r="O207" s="23" t="e">
        <f ca="1">IF(ISNUMBER(SEARCH("to", N207)),
_xlfn.LET(
    _xlpm.text_n3, N207,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207" s="23"/>
      <c r="Q207" s="23" t="s">
        <v>57</v>
      </c>
      <c r="R207" s="27"/>
      <c r="S207" s="27"/>
      <c r="T207" s="23">
        <v>50263502</v>
      </c>
      <c r="U207" s="28">
        <v>4320522733679</v>
      </c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 t="s">
        <v>42</v>
      </c>
      <c r="AN207" s="32" t="s">
        <v>58</v>
      </c>
      <c r="AO207" s="32" t="s">
        <v>58</v>
      </c>
      <c r="AP207" s="23" t="s">
        <v>58</v>
      </c>
      <c r="AQ207" s="23" t="s">
        <v>58</v>
      </c>
      <c r="AR207" s="23"/>
      <c r="AS207" s="23" t="str">
        <f t="shared" ref="AS207:AS212" si="32">IF(AND(AN207="Yes", AO207="Yes", AP207="Yes"), "Yes", IF(AND(AN207="", AO207="", AP207=""), "No", "Incomplete"))</f>
        <v>Yes</v>
      </c>
      <c r="AT207" s="29" t="str">
        <f t="shared" si="30"/>
        <v>Yes</v>
      </c>
      <c r="AU207" s="30"/>
      <c r="AV207" s="31"/>
      <c r="AW207" s="31" t="s">
        <v>59</v>
      </c>
      <c r="AX207" s="2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</row>
    <row r="208" spans="1:74" x14ac:dyDescent="0.25">
      <c r="A208" s="25">
        <v>205</v>
      </c>
      <c r="B208" s="23" t="s">
        <v>670</v>
      </c>
      <c r="C208" s="23" t="s">
        <v>668</v>
      </c>
      <c r="D208" s="26" t="s">
        <v>671</v>
      </c>
      <c r="E208" s="23">
        <v>17</v>
      </c>
      <c r="F208" s="23" t="s">
        <v>586</v>
      </c>
      <c r="G208" s="23">
        <f>VLOOKUP(C208,[2]Sheet2!$T$3:$V$92,3,FALSE)</f>
        <v>46</v>
      </c>
      <c r="H208" s="23" t="s">
        <v>54</v>
      </c>
      <c r="I208" s="23" t="s">
        <v>436</v>
      </c>
      <c r="J208" s="23"/>
      <c r="L208" s="23"/>
      <c r="M208" s="23"/>
      <c r="N208" s="23" t="s">
        <v>56</v>
      </c>
      <c r="O208" s="23" t="e">
        <f ca="1">IF(ISNUMBER(SEARCH("to", N208)),
_xlfn.LET(
    _xlpm.text_n3, N208,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208" s="23"/>
      <c r="Q208" s="23" t="s">
        <v>57</v>
      </c>
      <c r="R208" s="27"/>
      <c r="S208" s="27"/>
      <c r="T208" s="23">
        <v>10303704</v>
      </c>
      <c r="U208" s="28">
        <v>4520374549767</v>
      </c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 t="s">
        <v>42</v>
      </c>
      <c r="AN208" s="23" t="s">
        <v>58</v>
      </c>
      <c r="AO208" s="23" t="s">
        <v>58</v>
      </c>
      <c r="AP208" s="23"/>
      <c r="AQ208" s="23" t="s">
        <v>58</v>
      </c>
      <c r="AR208" s="23"/>
      <c r="AS208" s="23" t="str">
        <f t="shared" si="32"/>
        <v>Incomplete</v>
      </c>
      <c r="AT208" s="29" t="str">
        <f t="shared" si="30"/>
        <v>Yes</v>
      </c>
      <c r="AU208" s="30"/>
      <c r="AV208" s="31"/>
      <c r="AW208" s="31" t="s">
        <v>59</v>
      </c>
      <c r="AX208" s="2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</row>
    <row r="209" spans="1:74" ht="57" x14ac:dyDescent="0.25">
      <c r="A209" s="25">
        <v>206</v>
      </c>
      <c r="B209" s="23" t="s">
        <v>672</v>
      </c>
      <c r="C209" s="23" t="s">
        <v>668</v>
      </c>
      <c r="D209" s="26" t="s">
        <v>673</v>
      </c>
      <c r="E209" s="23">
        <v>15</v>
      </c>
      <c r="F209" s="23" t="s">
        <v>108</v>
      </c>
      <c r="G209" s="23">
        <f>VLOOKUP(C209,[2]Sheet2!$T$3:$V$92,3,FALSE)</f>
        <v>46</v>
      </c>
      <c r="H209" s="23" t="s">
        <v>68</v>
      </c>
      <c r="I209" s="23" t="s">
        <v>436</v>
      </c>
      <c r="J209" s="23"/>
      <c r="K209" s="6">
        <v>0.5</v>
      </c>
      <c r="L209" s="23" t="s">
        <v>564</v>
      </c>
      <c r="M209" s="23"/>
      <c r="N209" s="23" t="s">
        <v>674</v>
      </c>
      <c r="O209" s="23" t="e">
        <f t="shared" ref="O209:O219" si="33">IF(DATEVALUE(MID(N209,15,10))-DATEVALUE(LEFT(N209,10))+1&gt;=365,"1 Year",
DATEDIF(DATEVALUE(LEFT(N209,10)),DATEVALUE(MID(N209,15,10)),"Y")&amp;" Years, "&amp;DATEDIF(DATEVALUE(LEFT(N209,10)),DATEVALUE(MID(N209,15,10)),"YM")&amp;" Months, "&amp;DATEDIF(DATEVALUE(LEFT(N209,10)),DATEVALUE(MID(N209,15,10)),"MD")&amp;" Days")</f>
        <v>#VALUE!</v>
      </c>
      <c r="P209" s="23" t="s">
        <v>238</v>
      </c>
      <c r="Q209" s="23" t="s">
        <v>646</v>
      </c>
      <c r="R209" s="27"/>
      <c r="S209" s="27"/>
      <c r="T209" s="23">
        <v>50170336</v>
      </c>
      <c r="U209" s="28">
        <v>4520399053403</v>
      </c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 t="s">
        <v>42</v>
      </c>
      <c r="AN209" s="32" t="s">
        <v>58</v>
      </c>
      <c r="AO209" s="32" t="s">
        <v>58</v>
      </c>
      <c r="AP209" s="32" t="s">
        <v>58</v>
      </c>
      <c r="AQ209" s="32" t="s">
        <v>58</v>
      </c>
      <c r="AR209" s="23"/>
      <c r="AS209" s="23" t="str">
        <f t="shared" si="32"/>
        <v>Yes</v>
      </c>
      <c r="AT209" s="29" t="str">
        <f t="shared" si="30"/>
        <v>Yes</v>
      </c>
      <c r="AU209" s="30"/>
      <c r="AV209" s="31"/>
      <c r="AW209" s="31" t="s">
        <v>59</v>
      </c>
      <c r="AX209" s="2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</row>
    <row r="210" spans="1:74" ht="57" x14ac:dyDescent="0.25">
      <c r="A210" s="25">
        <v>207</v>
      </c>
      <c r="B210" s="23" t="s">
        <v>675</v>
      </c>
      <c r="C210" s="23" t="s">
        <v>668</v>
      </c>
      <c r="D210" s="26" t="s">
        <v>676</v>
      </c>
      <c r="E210" s="23">
        <v>15</v>
      </c>
      <c r="F210" s="23" t="s">
        <v>108</v>
      </c>
      <c r="G210" s="23">
        <f>VLOOKUP(C210,[2]Sheet2!$T$3:$V$92,3,FALSE)</f>
        <v>46</v>
      </c>
      <c r="H210" s="23" t="s">
        <v>68</v>
      </c>
      <c r="I210" s="23" t="s">
        <v>436</v>
      </c>
      <c r="J210" s="23"/>
      <c r="K210" s="6">
        <v>0.6</v>
      </c>
      <c r="L210" s="23" t="s">
        <v>427</v>
      </c>
      <c r="M210" s="23"/>
      <c r="N210" s="23" t="s">
        <v>674</v>
      </c>
      <c r="O210" s="23" t="e">
        <f t="shared" si="33"/>
        <v>#VALUE!</v>
      </c>
      <c r="P210" s="23" t="s">
        <v>677</v>
      </c>
      <c r="Q210" s="23" t="s">
        <v>646</v>
      </c>
      <c r="R210" s="27"/>
      <c r="S210" s="27"/>
      <c r="T210" s="23">
        <v>50699115</v>
      </c>
      <c r="U210" s="28">
        <v>4550427130551</v>
      </c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 t="s">
        <v>42</v>
      </c>
      <c r="AN210" s="32" t="s">
        <v>58</v>
      </c>
      <c r="AO210" s="32" t="s">
        <v>58</v>
      </c>
      <c r="AP210" s="32" t="s">
        <v>58</v>
      </c>
      <c r="AQ210" s="32" t="s">
        <v>58</v>
      </c>
      <c r="AR210" s="23"/>
      <c r="AS210" s="23" t="str">
        <f t="shared" si="32"/>
        <v>Yes</v>
      </c>
      <c r="AT210" s="29" t="str">
        <f t="shared" si="30"/>
        <v>Yes</v>
      </c>
      <c r="AU210" s="30"/>
      <c r="AV210" s="31"/>
      <c r="AW210" s="31" t="s">
        <v>59</v>
      </c>
      <c r="AX210" s="2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</row>
    <row r="211" spans="1:74" x14ac:dyDescent="0.25">
      <c r="A211" s="25">
        <v>17</v>
      </c>
      <c r="B211" s="23" t="s">
        <v>678</v>
      </c>
      <c r="C211" s="23" t="s">
        <v>668</v>
      </c>
      <c r="D211" s="26" t="s">
        <v>679</v>
      </c>
      <c r="E211" s="23">
        <v>16</v>
      </c>
      <c r="F211" s="23" t="s">
        <v>67</v>
      </c>
      <c r="G211" s="23">
        <f>VLOOKUP(C211,[2]Sheet2!$T$3:$V$92,3,FALSE)</f>
        <v>46</v>
      </c>
      <c r="H211" s="23" t="s">
        <v>68</v>
      </c>
      <c r="I211" s="23" t="s">
        <v>436</v>
      </c>
      <c r="J211" s="23">
        <v>3</v>
      </c>
      <c r="K211" s="6">
        <v>0.77</v>
      </c>
      <c r="L211" s="23" t="s">
        <v>455</v>
      </c>
      <c r="M211" s="23"/>
      <c r="N211" s="23"/>
      <c r="O211" s="23" t="e">
        <f t="shared" si="33"/>
        <v>#VALUE!</v>
      </c>
      <c r="P211" s="23"/>
      <c r="Q211" s="23"/>
      <c r="R211" s="27" t="s">
        <v>680</v>
      </c>
      <c r="S211" s="27">
        <v>44714</v>
      </c>
      <c r="T211" s="23">
        <v>50699246</v>
      </c>
      <c r="U211" s="28">
        <v>4520766150639</v>
      </c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 t="s">
        <v>41</v>
      </c>
      <c r="AN211" s="32" t="s">
        <v>58</v>
      </c>
      <c r="AO211" s="32" t="s">
        <v>58</v>
      </c>
      <c r="AP211" s="32" t="s">
        <v>58</v>
      </c>
      <c r="AQ211" s="23"/>
      <c r="AR211" s="23"/>
      <c r="AS211" s="23" t="str">
        <f t="shared" si="32"/>
        <v>Yes</v>
      </c>
      <c r="AT211" s="29" t="str">
        <f t="shared" si="30"/>
        <v>Yes</v>
      </c>
      <c r="AU211" s="30"/>
      <c r="AV211" s="31"/>
      <c r="AW211" s="31"/>
      <c r="AX211" s="2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</row>
    <row r="212" spans="1:74" ht="57" x14ac:dyDescent="0.25">
      <c r="A212" s="25">
        <v>209</v>
      </c>
      <c r="B212" s="23" t="s">
        <v>681</v>
      </c>
      <c r="C212" s="23" t="s">
        <v>668</v>
      </c>
      <c r="D212" s="26" t="s">
        <v>682</v>
      </c>
      <c r="E212" s="23">
        <v>14</v>
      </c>
      <c r="F212" s="23" t="s">
        <v>108</v>
      </c>
      <c r="G212" s="23">
        <f>VLOOKUP(C212,[2]Sheet2!$T$3:$V$92,3,FALSE)</f>
        <v>46</v>
      </c>
      <c r="H212" s="23" t="s">
        <v>68</v>
      </c>
      <c r="I212" s="23" t="s">
        <v>436</v>
      </c>
      <c r="J212" s="23"/>
      <c r="K212" s="6">
        <v>0.75</v>
      </c>
      <c r="L212" s="23" t="s">
        <v>574</v>
      </c>
      <c r="M212" s="23"/>
      <c r="N212" s="23" t="s">
        <v>683</v>
      </c>
      <c r="O212" s="23" t="e">
        <f t="shared" si="33"/>
        <v>#VALUE!</v>
      </c>
      <c r="P212" s="23" t="s">
        <v>238</v>
      </c>
      <c r="Q212" s="23" t="s">
        <v>646</v>
      </c>
      <c r="R212" s="27"/>
      <c r="S212" s="27"/>
      <c r="T212" s="23"/>
      <c r="U212" s="28">
        <v>4320387750147</v>
      </c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 t="s">
        <v>41</v>
      </c>
      <c r="AN212" s="23"/>
      <c r="AO212" s="23"/>
      <c r="AP212" s="32" t="s">
        <v>58</v>
      </c>
      <c r="AQ212" s="23"/>
      <c r="AR212" s="23"/>
      <c r="AS212" s="23" t="str">
        <f t="shared" si="32"/>
        <v>Incomplete</v>
      </c>
      <c r="AT212" s="29" t="str">
        <f t="shared" si="30"/>
        <v>Yes</v>
      </c>
      <c r="AU212" s="30"/>
      <c r="AV212" s="31"/>
      <c r="AW212" s="31" t="s">
        <v>59</v>
      </c>
      <c r="AX212" s="2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</row>
    <row r="213" spans="1:74" x14ac:dyDescent="0.25">
      <c r="A213" s="25">
        <v>210</v>
      </c>
      <c r="B213" s="23" t="s">
        <v>684</v>
      </c>
      <c r="C213" s="23" t="s">
        <v>668</v>
      </c>
      <c r="D213" s="26" t="s">
        <v>685</v>
      </c>
      <c r="E213" s="23">
        <v>13</v>
      </c>
      <c r="F213" s="23" t="s">
        <v>131</v>
      </c>
      <c r="G213" s="23">
        <f>VLOOKUP(C213,[2]Sheet2!$T$3:$V$92,3,FALSE)</f>
        <v>46</v>
      </c>
      <c r="H213" s="23" t="s">
        <v>68</v>
      </c>
      <c r="I213" s="23" t="s">
        <v>436</v>
      </c>
      <c r="J213" s="23"/>
      <c r="K213" s="6">
        <v>0.95</v>
      </c>
      <c r="L213" s="23" t="s">
        <v>574</v>
      </c>
      <c r="M213" s="23"/>
      <c r="N213" s="23"/>
      <c r="O213" s="23" t="e">
        <f t="shared" si="33"/>
        <v>#VALUE!</v>
      </c>
      <c r="P213" s="23"/>
      <c r="Q213" s="23"/>
      <c r="R213" s="27"/>
      <c r="S213" s="27"/>
      <c r="T213" s="23">
        <v>10451562</v>
      </c>
      <c r="U213" s="28">
        <v>4520375616617</v>
      </c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 t="s">
        <v>39</v>
      </c>
      <c r="AN213" s="32" t="s">
        <v>58</v>
      </c>
      <c r="AO213" s="23"/>
      <c r="AP213" s="23"/>
      <c r="AQ213" s="23"/>
      <c r="AR213" s="23"/>
      <c r="AS213" s="23" t="str">
        <f>IF(AND(AN213="Yes", AO213="Yes"), "Yes", IF(AND(AN213="", AO213=""), "No", "Incomplete"))</f>
        <v>Incomplete</v>
      </c>
      <c r="AT213" s="29" t="str">
        <f t="shared" si="30"/>
        <v>Yes</v>
      </c>
      <c r="AU213" s="30"/>
      <c r="AV213" s="31"/>
      <c r="AW213" s="31" t="s">
        <v>59</v>
      </c>
      <c r="AX213" s="2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</row>
    <row r="214" spans="1:74" x14ac:dyDescent="0.25">
      <c r="A214" s="25">
        <v>211</v>
      </c>
      <c r="B214" s="23" t="s">
        <v>686</v>
      </c>
      <c r="C214" s="23" t="s">
        <v>668</v>
      </c>
      <c r="D214" s="26" t="s">
        <v>687</v>
      </c>
      <c r="E214" s="23">
        <v>11</v>
      </c>
      <c r="F214" s="23" t="s">
        <v>138</v>
      </c>
      <c r="G214" s="23">
        <f>VLOOKUP(C214,[2]Sheet2!$T$3:$V$92,3,FALSE)</f>
        <v>46</v>
      </c>
      <c r="H214" s="23" t="s">
        <v>68</v>
      </c>
      <c r="I214" s="23" t="s">
        <v>436</v>
      </c>
      <c r="J214" s="23"/>
      <c r="K214" s="6">
        <v>0.95</v>
      </c>
      <c r="L214" s="23" t="s">
        <v>574</v>
      </c>
      <c r="M214" s="23"/>
      <c r="N214" s="23"/>
      <c r="O214" s="23" t="e">
        <f t="shared" si="33"/>
        <v>#VALUE!</v>
      </c>
      <c r="P214" s="23"/>
      <c r="Q214" s="23"/>
      <c r="R214" s="27"/>
      <c r="S214" s="27"/>
      <c r="T214" s="23">
        <v>50394959</v>
      </c>
      <c r="U214" s="28">
        <v>4520607496771</v>
      </c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 t="s">
        <v>42</v>
      </c>
      <c r="AN214" s="32" t="s">
        <v>58</v>
      </c>
      <c r="AO214" s="32" t="s">
        <v>58</v>
      </c>
      <c r="AP214" s="23" t="s">
        <v>58</v>
      </c>
      <c r="AQ214" s="32" t="s">
        <v>58</v>
      </c>
      <c r="AR214" s="23"/>
      <c r="AS214" s="23" t="str">
        <f t="shared" ref="AS214:AS219" si="34">IF(AND(AN214="Yes"), "Yes", IF(AND(AN214=""), "No", "Incomplete"))</f>
        <v>Yes</v>
      </c>
      <c r="AT214" s="29" t="str">
        <f t="shared" si="30"/>
        <v>Yes</v>
      </c>
      <c r="AU214" s="30"/>
      <c r="AV214" s="31"/>
      <c r="AW214" s="31" t="s">
        <v>59</v>
      </c>
      <c r="AX214" s="2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</row>
    <row r="215" spans="1:74" x14ac:dyDescent="0.25">
      <c r="A215" s="25">
        <v>212</v>
      </c>
      <c r="B215" s="23" t="s">
        <v>688</v>
      </c>
      <c r="C215" s="23" t="s">
        <v>668</v>
      </c>
      <c r="D215" s="26" t="s">
        <v>689</v>
      </c>
      <c r="E215" s="23">
        <v>11</v>
      </c>
      <c r="F215" s="23" t="s">
        <v>138</v>
      </c>
      <c r="G215" s="23">
        <f>VLOOKUP(C215,[2]Sheet2!$T$3:$V$92,3,FALSE)</f>
        <v>46</v>
      </c>
      <c r="H215" s="23" t="s">
        <v>68</v>
      </c>
      <c r="I215" s="23" t="s">
        <v>436</v>
      </c>
      <c r="J215" s="23"/>
      <c r="K215" s="6">
        <v>0.8</v>
      </c>
      <c r="L215" s="23" t="s">
        <v>574</v>
      </c>
      <c r="M215" s="23"/>
      <c r="N215" s="23"/>
      <c r="O215" s="23" t="e">
        <f t="shared" si="33"/>
        <v>#VALUE!</v>
      </c>
      <c r="P215" s="23"/>
      <c r="Q215" s="23"/>
      <c r="R215" s="27"/>
      <c r="S215" s="27"/>
      <c r="T215" s="23">
        <v>50619296</v>
      </c>
      <c r="U215" s="28">
        <v>4520490571391</v>
      </c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 t="s">
        <v>41</v>
      </c>
      <c r="AN215" s="32" t="s">
        <v>58</v>
      </c>
      <c r="AO215" s="32" t="s">
        <v>58</v>
      </c>
      <c r="AP215" s="23" t="s">
        <v>58</v>
      </c>
      <c r="AQ215" s="23"/>
      <c r="AR215" s="23"/>
      <c r="AS215" s="23" t="str">
        <f t="shared" si="34"/>
        <v>Yes</v>
      </c>
      <c r="AT215" s="29" t="str">
        <f t="shared" si="30"/>
        <v>Yes</v>
      </c>
      <c r="AU215" s="30"/>
      <c r="AV215" s="31"/>
      <c r="AW215" s="31" t="s">
        <v>59</v>
      </c>
      <c r="AX215" s="2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</row>
    <row r="216" spans="1:74" x14ac:dyDescent="0.25">
      <c r="A216" s="25">
        <v>213</v>
      </c>
      <c r="B216" s="23" t="s">
        <v>690</v>
      </c>
      <c r="C216" s="23" t="s">
        <v>668</v>
      </c>
      <c r="D216" s="26" t="s">
        <v>66</v>
      </c>
      <c r="E216" s="23">
        <v>7</v>
      </c>
      <c r="F216" s="23" t="s">
        <v>264</v>
      </c>
      <c r="G216" s="23">
        <f>VLOOKUP(C216,[2]Sheet2!$T$3:$V$92,3,FALSE)</f>
        <v>46</v>
      </c>
      <c r="H216" s="23" t="s">
        <v>68</v>
      </c>
      <c r="I216" s="23" t="s">
        <v>436</v>
      </c>
      <c r="J216" s="23"/>
      <c r="K216" s="6">
        <v>0</v>
      </c>
      <c r="L216" s="23"/>
      <c r="M216" s="23"/>
      <c r="N216" s="23"/>
      <c r="O216" s="23" t="e">
        <f t="shared" si="33"/>
        <v>#VALUE!</v>
      </c>
      <c r="P216" s="23"/>
      <c r="Q216" s="23"/>
      <c r="R216" s="27"/>
      <c r="S216" s="27"/>
      <c r="T216" s="23">
        <v>10303759</v>
      </c>
      <c r="U216" s="28">
        <v>4520308160921</v>
      </c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 t="s">
        <v>66</v>
      </c>
      <c r="AN216" s="23"/>
      <c r="AO216" s="23"/>
      <c r="AP216" s="23"/>
      <c r="AQ216" s="23"/>
      <c r="AR216" s="23"/>
      <c r="AS216" s="23" t="str">
        <f t="shared" si="34"/>
        <v>No</v>
      </c>
      <c r="AT216" s="29" t="str">
        <f t="shared" si="30"/>
        <v>Vacant</v>
      </c>
      <c r="AU216" s="30"/>
      <c r="AV216" s="31"/>
      <c r="AW216" s="31"/>
      <c r="AX216" s="2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</row>
    <row r="217" spans="1:74" x14ac:dyDescent="0.25">
      <c r="A217" s="25">
        <v>216</v>
      </c>
      <c r="B217" s="23" t="s">
        <v>691</v>
      </c>
      <c r="C217" s="23" t="s">
        <v>668</v>
      </c>
      <c r="D217" s="26" t="s">
        <v>692</v>
      </c>
      <c r="E217" s="23">
        <v>4</v>
      </c>
      <c r="F217" s="23" t="s">
        <v>71</v>
      </c>
      <c r="G217" s="23">
        <f>VLOOKUP(C217,[2]Sheet2!$T$3:$V$92,3,FALSE)</f>
        <v>46</v>
      </c>
      <c r="H217" s="23" t="s">
        <v>68</v>
      </c>
      <c r="I217" s="23" t="s">
        <v>436</v>
      </c>
      <c r="J217" s="23"/>
      <c r="K217" s="6">
        <v>0.6</v>
      </c>
      <c r="L217" s="23" t="s">
        <v>376</v>
      </c>
      <c r="M217" s="23"/>
      <c r="N217" s="23"/>
      <c r="O217" s="23" t="e">
        <f t="shared" si="33"/>
        <v>#VALUE!</v>
      </c>
      <c r="P217" s="23"/>
      <c r="Q217" s="23"/>
      <c r="R217" s="27"/>
      <c r="S217" s="27"/>
      <c r="T217" s="23">
        <v>50698553</v>
      </c>
      <c r="U217" s="28">
        <v>4520316284887</v>
      </c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 t="s">
        <v>40</v>
      </c>
      <c r="AN217" s="23"/>
      <c r="AO217" s="23" t="s">
        <v>58</v>
      </c>
      <c r="AP217" s="23"/>
      <c r="AQ217" s="23"/>
      <c r="AR217" s="23"/>
      <c r="AS217" s="23" t="str">
        <f t="shared" si="34"/>
        <v>No</v>
      </c>
      <c r="AT217" s="29" t="str">
        <f t="shared" si="30"/>
        <v>Yes</v>
      </c>
      <c r="AU217" s="30"/>
      <c r="AV217" s="31"/>
      <c r="AW217" s="31" t="s">
        <v>59</v>
      </c>
      <c r="AX217" s="2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</row>
    <row r="218" spans="1:74" x14ac:dyDescent="0.25">
      <c r="A218" s="25">
        <v>215</v>
      </c>
      <c r="B218" s="23" t="s">
        <v>693</v>
      </c>
      <c r="C218" s="23" t="s">
        <v>668</v>
      </c>
      <c r="D218" s="26" t="s">
        <v>694</v>
      </c>
      <c r="E218" s="23">
        <v>4</v>
      </c>
      <c r="F218" s="23" t="s">
        <v>161</v>
      </c>
      <c r="G218" s="23">
        <f>VLOOKUP(C218,[2]Sheet2!$T$3:$V$92,3,FALSE)</f>
        <v>46</v>
      </c>
      <c r="H218" s="23" t="s">
        <v>68</v>
      </c>
      <c r="I218" s="23" t="s">
        <v>436</v>
      </c>
      <c r="J218" s="23"/>
      <c r="K218" s="6">
        <v>0.8</v>
      </c>
      <c r="L218" s="23" t="s">
        <v>574</v>
      </c>
      <c r="M218" s="63" t="s">
        <v>634</v>
      </c>
      <c r="N218" s="63"/>
      <c r="O218" s="23" t="e">
        <f t="shared" si="33"/>
        <v>#VALUE!</v>
      </c>
      <c r="P218" s="63"/>
      <c r="Q218" s="63"/>
      <c r="R218" s="64">
        <v>41456</v>
      </c>
      <c r="S218" s="64">
        <v>41456</v>
      </c>
      <c r="T218" s="23">
        <v>50173362</v>
      </c>
      <c r="U218" s="28">
        <v>4520326337355</v>
      </c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 t="s">
        <v>39</v>
      </c>
      <c r="AN218" s="23" t="s">
        <v>58</v>
      </c>
      <c r="AO218" s="23"/>
      <c r="AP218" s="23"/>
      <c r="AQ218" s="23"/>
      <c r="AR218" s="23"/>
      <c r="AS218" s="23" t="str">
        <f t="shared" si="34"/>
        <v>Yes</v>
      </c>
      <c r="AT218" s="29" t="str">
        <f t="shared" si="30"/>
        <v>Yes</v>
      </c>
      <c r="AU218" s="30"/>
      <c r="AV218" s="31"/>
      <c r="AW218" s="31" t="s">
        <v>59</v>
      </c>
      <c r="AX218" s="2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</row>
    <row r="219" spans="1:74" x14ac:dyDescent="0.25">
      <c r="A219" s="25">
        <v>274</v>
      </c>
      <c r="B219" s="23" t="s">
        <v>695</v>
      </c>
      <c r="C219" s="23" t="s">
        <v>668</v>
      </c>
      <c r="D219" s="26" t="s">
        <v>66</v>
      </c>
      <c r="E219" s="23">
        <v>2</v>
      </c>
      <c r="F219" s="23" t="s">
        <v>71</v>
      </c>
      <c r="G219" s="23">
        <f>VLOOKUP(C219,[2]Sheet2!$T$3:$V$92,3,FALSE)</f>
        <v>46</v>
      </c>
      <c r="H219" s="23" t="s">
        <v>68</v>
      </c>
      <c r="I219" s="23" t="s">
        <v>436</v>
      </c>
      <c r="J219" s="23"/>
      <c r="L219" s="23"/>
      <c r="M219" s="23"/>
      <c r="N219" s="23"/>
      <c r="O219" s="23" t="e">
        <f t="shared" si="33"/>
        <v>#VALUE!</v>
      </c>
      <c r="P219" s="23"/>
      <c r="Q219" s="23"/>
      <c r="R219" s="27"/>
      <c r="S219" s="27"/>
      <c r="T219" s="23"/>
      <c r="U219" s="28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 t="s">
        <v>66</v>
      </c>
      <c r="AN219" s="23"/>
      <c r="AO219" s="23"/>
      <c r="AP219" s="23"/>
      <c r="AQ219" s="23"/>
      <c r="AR219" s="23"/>
      <c r="AS219" s="23" t="str">
        <f t="shared" si="34"/>
        <v>No</v>
      </c>
      <c r="AT219" s="29" t="str">
        <f t="shared" si="30"/>
        <v>Vacant</v>
      </c>
      <c r="AU219" s="30"/>
      <c r="AV219" s="31"/>
      <c r="AW219" s="31"/>
      <c r="AX219" s="2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</row>
    <row r="220" spans="1:74" x14ac:dyDescent="0.25">
      <c r="A220" s="25">
        <v>95</v>
      </c>
      <c r="B220" s="23" t="s">
        <v>696</v>
      </c>
      <c r="C220" s="23" t="s">
        <v>697</v>
      </c>
      <c r="D220" s="50" t="s">
        <v>698</v>
      </c>
      <c r="E220" s="51">
        <v>19</v>
      </c>
      <c r="F220" s="51" t="s">
        <v>555</v>
      </c>
      <c r="G220" s="23">
        <f>VLOOKUP(C220,[2]Sheet2!$T$3:$V$92,3,FALSE)</f>
        <v>47</v>
      </c>
      <c r="H220" s="23" t="s">
        <v>54</v>
      </c>
      <c r="I220" s="23" t="s">
        <v>436</v>
      </c>
      <c r="J220" s="23"/>
      <c r="L220" s="23"/>
      <c r="M220" s="51"/>
      <c r="N220" s="51"/>
      <c r="O220" s="23" t="str">
        <f>IF(ISNUMBER(SEARCH("to", N220)),
_xlfn.LET(
    _xlpm.text_n3, N220,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220" s="51"/>
      <c r="Q220" s="51"/>
      <c r="R220" s="52"/>
      <c r="S220" s="53"/>
      <c r="T220" s="51"/>
      <c r="U220" s="54"/>
      <c r="V220" s="50"/>
      <c r="W220" s="55"/>
      <c r="X220" s="52"/>
      <c r="Y220" s="52"/>
      <c r="Z220" s="54"/>
      <c r="AA220" s="52"/>
      <c r="AB220" s="52"/>
      <c r="AC220" s="56"/>
      <c r="AD220" s="54"/>
      <c r="AE220" s="52"/>
      <c r="AF220" s="52"/>
      <c r="AG220" s="52"/>
      <c r="AH220" s="54"/>
      <c r="AI220" s="54"/>
      <c r="AJ220" s="52"/>
      <c r="AK220" s="54"/>
      <c r="AL220" s="52"/>
      <c r="AM220" s="52"/>
      <c r="AN220" s="52"/>
      <c r="AO220" s="56"/>
      <c r="AP220" s="52"/>
      <c r="AQ220" s="56"/>
      <c r="AR220" s="52"/>
      <c r="AS220" s="52"/>
      <c r="AT220" s="52"/>
      <c r="AU220" s="57"/>
      <c r="AV220" s="57"/>
      <c r="AW220" s="57"/>
      <c r="AX220" s="49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</row>
    <row r="221" spans="1:74" x14ac:dyDescent="0.25">
      <c r="A221" s="25">
        <v>218</v>
      </c>
      <c r="B221" s="23" t="s">
        <v>699</v>
      </c>
      <c r="C221" s="23" t="s">
        <v>697</v>
      </c>
      <c r="D221" s="26" t="s">
        <v>66</v>
      </c>
      <c r="E221" s="23">
        <v>18</v>
      </c>
      <c r="F221" s="23" t="s">
        <v>557</v>
      </c>
      <c r="G221" s="23">
        <f>VLOOKUP(C221,[2]Sheet2!$T$3:$V$92,3,FALSE)</f>
        <v>47</v>
      </c>
      <c r="H221" s="23" t="s">
        <v>54</v>
      </c>
      <c r="I221" s="23" t="s">
        <v>436</v>
      </c>
      <c r="J221" s="23"/>
      <c r="L221" s="23"/>
      <c r="M221" s="23"/>
      <c r="N221" s="23"/>
      <c r="O221" s="23" t="str">
        <f>IF(ISNUMBER(SEARCH("to", N221)),
_xlfn.LET(
    _xlpm.first_line, LEFT(N221, IFERROR(SEARCH(CHAR(10), N221)-1, LEN(N221))),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221" s="23"/>
      <c r="Q221" s="23"/>
      <c r="R221" s="27"/>
      <c r="S221" s="27"/>
      <c r="T221" s="23"/>
      <c r="U221" s="28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 t="s">
        <v>66</v>
      </c>
      <c r="AN221" s="23"/>
      <c r="AO221" s="23"/>
      <c r="AP221" s="23"/>
      <c r="AQ221" s="23"/>
      <c r="AR221" s="23"/>
      <c r="AS221" s="23" t="str">
        <f>IF(AND(AN221="Yes", AO221="Yes", AP221="Yes"), "Yes", IF(AND(AN221="", AO221="", AP221=""), "No", "Incomplete"))</f>
        <v>No</v>
      </c>
      <c r="AT221" s="29" t="str">
        <f t="shared" ref="AT221:AT241" si="35">IF(AM221="Matric",IF(AN221="Yes","Yes",IF(AN221="Under Process", "Under Process","No")),IF(AM221="Inter",IF(AO221="Yes","Yes",IF(AO221="Under Process", "Under Process","No")),IF(AM221="Bachelor",IF(AP221="Yes","Yes",IF(AP221="Under Process", "Under Process","No")),IF(AM221="Master",IF(AQ221="Yes","Yes",IF(AQ221="Under Process", "Under Process","No")),IF(AM221="Vacant",IF(D229="Yes","No","Vacant"),IF(AM221="NA",IF(D229="Yes","No","NA"),"No"))))))</f>
        <v>Vacant</v>
      </c>
      <c r="AU221" s="30"/>
      <c r="AV221" s="31"/>
      <c r="AW221" s="31"/>
      <c r="AX221" s="2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</row>
    <row r="222" spans="1:74" x14ac:dyDescent="0.25">
      <c r="A222" s="25">
        <v>219</v>
      </c>
      <c r="B222" s="23" t="s">
        <v>700</v>
      </c>
      <c r="C222" s="23" t="s">
        <v>697</v>
      </c>
      <c r="D222" s="26" t="s">
        <v>701</v>
      </c>
      <c r="E222" s="23">
        <v>17</v>
      </c>
      <c r="F222" s="23" t="s">
        <v>560</v>
      </c>
      <c r="G222" s="23">
        <f>VLOOKUP(C222,[2]Sheet2!$T$3:$V$92,3,FALSE)</f>
        <v>47</v>
      </c>
      <c r="H222" s="23" t="s">
        <v>54</v>
      </c>
      <c r="I222" s="23" t="s">
        <v>436</v>
      </c>
      <c r="J222" s="23">
        <v>1</v>
      </c>
      <c r="K222" s="6">
        <v>0.9</v>
      </c>
      <c r="L222" s="23" t="s">
        <v>702</v>
      </c>
      <c r="M222" s="23"/>
      <c r="N222" s="23"/>
      <c r="O222" s="23" t="e">
        <f t="shared" ref="O222:O230" si="36">IF(DATEVALUE(MID(N222,15,10))-DATEVALUE(LEFT(N222,10))+1&gt;=365,"1 Year",
DATEDIF(DATEVALUE(LEFT(N222,10)),DATEVALUE(MID(N222,15,10)),"Y")&amp;" Years, "&amp;DATEDIF(DATEVALUE(LEFT(N222,10)),DATEVALUE(MID(N222,15,10)),"YM")&amp;" Months, "&amp;DATEDIF(DATEVALUE(LEFT(N222,10)),DATEVALUE(MID(N222,15,10)),"MD")&amp;" Days")</f>
        <v>#VALUE!</v>
      </c>
      <c r="P222" s="23"/>
      <c r="Q222" s="23"/>
      <c r="R222" s="27"/>
      <c r="S222" s="27"/>
      <c r="T222" s="23">
        <v>50760377</v>
      </c>
      <c r="U222" s="28">
        <v>4120557075079</v>
      </c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 t="s">
        <v>42</v>
      </c>
      <c r="AN222" s="32" t="s">
        <v>58</v>
      </c>
      <c r="AO222" s="32" t="s">
        <v>58</v>
      </c>
      <c r="AP222" s="32" t="s">
        <v>58</v>
      </c>
      <c r="AQ222" s="32" t="s">
        <v>58</v>
      </c>
      <c r="AR222" s="23"/>
      <c r="AS222" s="23" t="str">
        <f>IF(AND(AN222="Yes", AO222="Yes", AP222="Yes"), "Yes", IF(AND(AN222="", AO222="", AP222=""), "No", "Incomplete"))</f>
        <v>Yes</v>
      </c>
      <c r="AT222" s="29" t="str">
        <f t="shared" si="35"/>
        <v>Yes</v>
      </c>
      <c r="AU222" s="30"/>
      <c r="AV222" s="31"/>
      <c r="AW222" s="31" t="s">
        <v>59</v>
      </c>
      <c r="AX222" s="2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</row>
    <row r="223" spans="1:74" ht="42.75" x14ac:dyDescent="0.25">
      <c r="A223" s="25">
        <v>221</v>
      </c>
      <c r="B223" s="23" t="s">
        <v>703</v>
      </c>
      <c r="C223" s="23" t="s">
        <v>697</v>
      </c>
      <c r="D223" s="26" t="s">
        <v>276</v>
      </c>
      <c r="E223" s="23">
        <v>15</v>
      </c>
      <c r="F223" s="23" t="s">
        <v>67</v>
      </c>
      <c r="G223" s="23">
        <f>VLOOKUP(C223,[2]Sheet2!$T$3:$V$92,3,FALSE)</f>
        <v>47</v>
      </c>
      <c r="H223" s="23" t="s">
        <v>68</v>
      </c>
      <c r="I223" s="23" t="s">
        <v>436</v>
      </c>
      <c r="J223" s="23">
        <v>1</v>
      </c>
      <c r="K223" s="6">
        <v>0.75</v>
      </c>
      <c r="L223" s="23" t="s">
        <v>574</v>
      </c>
      <c r="M223" s="23"/>
      <c r="N223" s="23" t="s">
        <v>95</v>
      </c>
      <c r="O223" s="23" t="str">
        <f t="shared" si="36"/>
        <v>1 Year</v>
      </c>
      <c r="P223" s="23" t="s">
        <v>704</v>
      </c>
      <c r="Q223" s="23" t="s">
        <v>646</v>
      </c>
      <c r="R223" s="27"/>
      <c r="S223" s="27"/>
      <c r="T223" s="23">
        <v>50184362</v>
      </c>
      <c r="U223" s="28">
        <v>4130784919367</v>
      </c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 t="s">
        <v>42</v>
      </c>
      <c r="AN223" s="32" t="s">
        <v>58</v>
      </c>
      <c r="AO223" s="32" t="s">
        <v>58</v>
      </c>
      <c r="AP223" s="32" t="s">
        <v>58</v>
      </c>
      <c r="AQ223" s="32" t="s">
        <v>58</v>
      </c>
      <c r="AR223" s="23"/>
      <c r="AS223" s="23" t="str">
        <f>IF(AND(AN223="Yes", AO223="Yes", AP223="Yes"), "Yes", IF(AND(AN223="", AO223="", AP223=""), "No", "Incomplete"))</f>
        <v>Yes</v>
      </c>
      <c r="AT223" s="29" t="str">
        <f t="shared" si="35"/>
        <v>Yes</v>
      </c>
      <c r="AU223" s="30"/>
      <c r="AV223" s="31"/>
      <c r="AW223" s="31" t="s">
        <v>59</v>
      </c>
      <c r="AX223" s="2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</row>
    <row r="224" spans="1:74" ht="28.5" x14ac:dyDescent="0.25">
      <c r="A224" s="25">
        <v>220</v>
      </c>
      <c r="B224" s="23" t="s">
        <v>705</v>
      </c>
      <c r="C224" s="23" t="s">
        <v>697</v>
      </c>
      <c r="D224" s="26" t="s">
        <v>706</v>
      </c>
      <c r="E224" s="23">
        <v>15</v>
      </c>
      <c r="F224" s="23" t="s">
        <v>108</v>
      </c>
      <c r="G224" s="23">
        <f>VLOOKUP(C224,[2]Sheet2!$T$3:$V$92,3,FALSE)</f>
        <v>47</v>
      </c>
      <c r="H224" s="23" t="s">
        <v>68</v>
      </c>
      <c r="I224" s="23" t="s">
        <v>436</v>
      </c>
      <c r="J224" s="23">
        <v>1</v>
      </c>
      <c r="K224" s="6">
        <v>0.78</v>
      </c>
      <c r="L224" s="23" t="s">
        <v>574</v>
      </c>
      <c r="M224" s="23"/>
      <c r="N224" s="23" t="s">
        <v>95</v>
      </c>
      <c r="O224" s="23" t="str">
        <f t="shared" si="36"/>
        <v>1 Year</v>
      </c>
      <c r="P224" s="23" t="s">
        <v>238</v>
      </c>
      <c r="Q224" s="23" t="s">
        <v>646</v>
      </c>
      <c r="R224" s="27"/>
      <c r="S224" s="27"/>
      <c r="T224" s="23">
        <v>50236425</v>
      </c>
      <c r="U224" s="28">
        <v>3520170067121</v>
      </c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 t="s">
        <v>41</v>
      </c>
      <c r="AN224" s="32" t="s">
        <v>58</v>
      </c>
      <c r="AO224" s="32" t="s">
        <v>58</v>
      </c>
      <c r="AP224" s="32" t="s">
        <v>58</v>
      </c>
      <c r="AQ224" s="23"/>
      <c r="AR224" s="23"/>
      <c r="AS224" s="23" t="str">
        <f>IF(AND(AN224="Yes", AO224="Yes", AP224="Yes"), "Yes", IF(AND(AN224="", AO224="", AP224=""), "No", "Incomplete"))</f>
        <v>Yes</v>
      </c>
      <c r="AT224" s="29" t="str">
        <f t="shared" si="35"/>
        <v>Yes</v>
      </c>
      <c r="AU224" s="30"/>
      <c r="AV224" s="31"/>
      <c r="AW224" s="31" t="s">
        <v>59</v>
      </c>
      <c r="AX224" s="2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</row>
    <row r="225" spans="1:74" x14ac:dyDescent="0.25">
      <c r="A225" s="25">
        <v>222</v>
      </c>
      <c r="B225" s="23" t="s">
        <v>707</v>
      </c>
      <c r="C225" s="23" t="s">
        <v>697</v>
      </c>
      <c r="D225" s="41" t="s">
        <v>708</v>
      </c>
      <c r="E225" s="23">
        <v>13</v>
      </c>
      <c r="F225" s="23" t="s">
        <v>131</v>
      </c>
      <c r="G225" s="23">
        <f>VLOOKUP(C225,[2]Sheet2!$T$3:$V$92,3,FALSE)</f>
        <v>47</v>
      </c>
      <c r="H225" s="23" t="s">
        <v>68</v>
      </c>
      <c r="I225" s="23" t="s">
        <v>436</v>
      </c>
      <c r="J225" s="23"/>
      <c r="K225" s="6">
        <v>0</v>
      </c>
      <c r="L225" s="23"/>
      <c r="M225" s="23"/>
      <c r="N225" s="23"/>
      <c r="O225" s="23" t="e">
        <f t="shared" si="36"/>
        <v>#VALUE!</v>
      </c>
      <c r="P225" s="23"/>
      <c r="Q225" s="23"/>
      <c r="R225" s="27">
        <v>45959</v>
      </c>
      <c r="S225" s="27">
        <v>45959</v>
      </c>
      <c r="T225" s="23"/>
      <c r="U225" s="28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 t="s">
        <v>42</v>
      </c>
      <c r="AN225" s="23"/>
      <c r="AO225" s="23"/>
      <c r="AP225" s="23"/>
      <c r="AQ225" s="23"/>
      <c r="AR225" s="23"/>
      <c r="AS225" s="23" t="str">
        <f>IF(AND(AN225="Yes", AO225="Yes"), "Yes", IF(AND(AN225="", AO225=""), "No", "Incomplete"))</f>
        <v>No</v>
      </c>
      <c r="AT225" s="29" t="str">
        <f t="shared" si="35"/>
        <v>No</v>
      </c>
      <c r="AU225" s="30"/>
      <c r="AV225" s="31"/>
      <c r="AW225" s="31"/>
      <c r="AX225" s="2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</row>
    <row r="226" spans="1:74" ht="28.5" x14ac:dyDescent="0.25">
      <c r="A226" s="25">
        <v>223</v>
      </c>
      <c r="B226" s="23" t="s">
        <v>709</v>
      </c>
      <c r="C226" s="23" t="s">
        <v>697</v>
      </c>
      <c r="D226" s="26" t="s">
        <v>710</v>
      </c>
      <c r="E226" s="23">
        <v>11</v>
      </c>
      <c r="F226" s="23" t="s">
        <v>138</v>
      </c>
      <c r="G226" s="23">
        <f>VLOOKUP(C226,[2]Sheet2!$T$3:$V$92,3,FALSE)</f>
        <v>47</v>
      </c>
      <c r="H226" s="23" t="s">
        <v>68</v>
      </c>
      <c r="I226" s="23" t="s">
        <v>436</v>
      </c>
      <c r="J226" s="23">
        <v>1</v>
      </c>
      <c r="K226" s="6">
        <v>0.7</v>
      </c>
      <c r="L226" s="23" t="s">
        <v>574</v>
      </c>
      <c r="M226" s="23"/>
      <c r="N226" s="23" t="s">
        <v>95</v>
      </c>
      <c r="O226" s="23" t="str">
        <f t="shared" si="36"/>
        <v>1 Year</v>
      </c>
      <c r="P226" s="23" t="s">
        <v>238</v>
      </c>
      <c r="Q226" s="23" t="s">
        <v>646</v>
      </c>
      <c r="R226" s="27"/>
      <c r="S226" s="27"/>
      <c r="T226" s="23">
        <v>50389373</v>
      </c>
      <c r="U226" s="28">
        <v>4540295060617</v>
      </c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 t="s">
        <v>42</v>
      </c>
      <c r="AN226" s="32" t="s">
        <v>58</v>
      </c>
      <c r="AO226" s="32" t="s">
        <v>58</v>
      </c>
      <c r="AP226" s="23" t="s">
        <v>412</v>
      </c>
      <c r="AQ226" s="32" t="s">
        <v>58</v>
      </c>
      <c r="AR226" s="23"/>
      <c r="AS226" s="23" t="str">
        <f>IF(AND(AN226="Yes"), "Yes", IF(AND(AN226=""), "No", "Incomplete"))</f>
        <v>Yes</v>
      </c>
      <c r="AT226" s="29" t="str">
        <f t="shared" si="35"/>
        <v>Yes</v>
      </c>
      <c r="AU226" s="30"/>
      <c r="AV226" s="31"/>
      <c r="AW226" s="31" t="s">
        <v>59</v>
      </c>
      <c r="AX226" s="2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</row>
    <row r="227" spans="1:74" x14ac:dyDescent="0.25">
      <c r="A227" s="25">
        <v>224</v>
      </c>
      <c r="B227" s="23" t="s">
        <v>711</v>
      </c>
      <c r="C227" s="23" t="s">
        <v>697</v>
      </c>
      <c r="D227" s="26" t="s">
        <v>712</v>
      </c>
      <c r="E227" s="23">
        <v>7</v>
      </c>
      <c r="F227" s="23" t="s">
        <v>145</v>
      </c>
      <c r="G227" s="23">
        <f>VLOOKUP(C227,[2]Sheet2!$T$3:$V$92,3,FALSE)</f>
        <v>47</v>
      </c>
      <c r="H227" s="23" t="s">
        <v>68</v>
      </c>
      <c r="I227" s="23" t="s">
        <v>436</v>
      </c>
      <c r="J227" s="23">
        <v>1</v>
      </c>
      <c r="K227" s="6">
        <v>0.7</v>
      </c>
      <c r="L227" s="23" t="s">
        <v>574</v>
      </c>
      <c r="M227" s="23"/>
      <c r="N227" s="23"/>
      <c r="O227" s="23" t="e">
        <f t="shared" si="36"/>
        <v>#VALUE!</v>
      </c>
      <c r="P227" s="23"/>
      <c r="Q227" s="23"/>
      <c r="R227" s="27"/>
      <c r="S227" s="27"/>
      <c r="T227" s="23">
        <v>50698775</v>
      </c>
      <c r="U227" s="28">
        <v>4530419592347</v>
      </c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 t="s">
        <v>40</v>
      </c>
      <c r="AN227" s="32" t="s">
        <v>58</v>
      </c>
      <c r="AO227" s="32" t="s">
        <v>58</v>
      </c>
      <c r="AP227" s="23"/>
      <c r="AQ227" s="23"/>
      <c r="AR227" s="23"/>
      <c r="AS227" s="23" t="str">
        <f>IF(AND(AN227="Yes"), "Yes", IF(AND(AN227=""), "No", "Incomplete"))</f>
        <v>Yes</v>
      </c>
      <c r="AT227" s="29" t="str">
        <f t="shared" si="35"/>
        <v>Yes</v>
      </c>
      <c r="AU227" s="30"/>
      <c r="AV227" s="31"/>
      <c r="AW227" s="31" t="s">
        <v>59</v>
      </c>
      <c r="AX227" s="2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</row>
    <row r="228" spans="1:74" x14ac:dyDescent="0.25">
      <c r="A228" s="25">
        <v>225</v>
      </c>
      <c r="B228" s="23" t="s">
        <v>713</v>
      </c>
      <c r="C228" s="23" t="s">
        <v>697</v>
      </c>
      <c r="D228" s="26" t="s">
        <v>714</v>
      </c>
      <c r="E228" s="23">
        <v>7</v>
      </c>
      <c r="F228" s="23" t="s">
        <v>264</v>
      </c>
      <c r="G228" s="23">
        <f>VLOOKUP(C228,[2]Sheet2!$T$3:$V$92,3,FALSE)</f>
        <v>47</v>
      </c>
      <c r="H228" s="23" t="s">
        <v>68</v>
      </c>
      <c r="I228" s="23" t="s">
        <v>436</v>
      </c>
      <c r="J228" s="23">
        <v>1</v>
      </c>
      <c r="K228" s="6">
        <v>0.73</v>
      </c>
      <c r="L228" s="23" t="s">
        <v>574</v>
      </c>
      <c r="M228" s="23"/>
      <c r="N228" s="23"/>
      <c r="O228" s="23" t="e">
        <f t="shared" si="36"/>
        <v>#VALUE!</v>
      </c>
      <c r="P228" s="23"/>
      <c r="Q228" s="23"/>
      <c r="R228" s="27"/>
      <c r="S228" s="27"/>
      <c r="T228" s="23">
        <v>50236430</v>
      </c>
      <c r="U228" s="28">
        <v>4130571542273</v>
      </c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 t="s">
        <v>40</v>
      </c>
      <c r="AN228" s="32" t="s">
        <v>58</v>
      </c>
      <c r="AO228" s="23" t="s">
        <v>58</v>
      </c>
      <c r="AP228" s="23"/>
      <c r="AQ228" s="23"/>
      <c r="AR228" s="23"/>
      <c r="AS228" s="23" t="str">
        <f>IF(AND(AN228="Yes"), "Yes", IF(AND(AN228=""), "No", "Incomplete"))</f>
        <v>Yes</v>
      </c>
      <c r="AT228" s="29" t="str">
        <f t="shared" si="35"/>
        <v>Yes</v>
      </c>
      <c r="AU228" s="30"/>
      <c r="AV228" s="31"/>
      <c r="AW228" s="31" t="s">
        <v>59</v>
      </c>
      <c r="AX228" s="2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</row>
    <row r="229" spans="1:74" ht="28.5" x14ac:dyDescent="0.25">
      <c r="A229" s="25">
        <v>231</v>
      </c>
      <c r="B229" s="23" t="s">
        <v>715</v>
      </c>
      <c r="C229" s="23" t="s">
        <v>697</v>
      </c>
      <c r="D229" s="26" t="s">
        <v>716</v>
      </c>
      <c r="E229" s="23">
        <v>4</v>
      </c>
      <c r="F229" s="23" t="s">
        <v>161</v>
      </c>
      <c r="G229" s="23">
        <f>VLOOKUP(C229,[2]Sheet2!$T$3:$V$92,3,FALSE)</f>
        <v>47</v>
      </c>
      <c r="H229" s="23" t="s">
        <v>68</v>
      </c>
      <c r="I229" s="23" t="s">
        <v>436</v>
      </c>
      <c r="J229" s="23">
        <v>1</v>
      </c>
      <c r="K229" s="6">
        <v>0.65</v>
      </c>
      <c r="L229" s="23" t="s">
        <v>427</v>
      </c>
      <c r="M229" s="43" t="s">
        <v>717</v>
      </c>
      <c r="N229" s="43"/>
      <c r="O229" s="23" t="e">
        <f t="shared" si="36"/>
        <v>#VALUE!</v>
      </c>
      <c r="P229" s="43"/>
      <c r="Q229" s="43"/>
      <c r="R229" s="44">
        <v>41477</v>
      </c>
      <c r="S229" s="44">
        <v>42916</v>
      </c>
      <c r="T229" s="23">
        <v>50187064</v>
      </c>
      <c r="U229" s="28">
        <v>4540404169387</v>
      </c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 t="s">
        <v>39</v>
      </c>
      <c r="AN229" s="32" t="s">
        <v>58</v>
      </c>
      <c r="AO229" s="23"/>
      <c r="AP229" s="23"/>
      <c r="AQ229" s="23"/>
      <c r="AR229" s="23"/>
      <c r="AS229" s="23" t="str">
        <f>IF(AND(AN229="Yes"), "Yes", IF(AND(AN229=""), "No", "Incomplete"))</f>
        <v>Yes</v>
      </c>
      <c r="AT229" s="29" t="str">
        <f t="shared" si="35"/>
        <v>Yes</v>
      </c>
      <c r="AU229" s="30"/>
      <c r="AV229" s="31"/>
      <c r="AW229" s="31" t="s">
        <v>59</v>
      </c>
      <c r="AX229" s="2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</row>
    <row r="230" spans="1:74" x14ac:dyDescent="0.25">
      <c r="A230" s="25">
        <v>227</v>
      </c>
      <c r="B230" s="23" t="s">
        <v>718</v>
      </c>
      <c r="C230" s="23" t="s">
        <v>697</v>
      </c>
      <c r="D230" s="26" t="s">
        <v>719</v>
      </c>
      <c r="E230" s="23">
        <v>4</v>
      </c>
      <c r="F230" s="23" t="s">
        <v>71</v>
      </c>
      <c r="G230" s="23">
        <f>VLOOKUP(C230,[2]Sheet2!$T$3:$V$92,3,FALSE)</f>
        <v>47</v>
      </c>
      <c r="H230" s="23" t="s">
        <v>68</v>
      </c>
      <c r="I230" s="23" t="s">
        <v>436</v>
      </c>
      <c r="J230" s="23">
        <v>1</v>
      </c>
      <c r="K230" s="6">
        <v>0.78</v>
      </c>
      <c r="L230" s="23" t="s">
        <v>574</v>
      </c>
      <c r="M230" s="23"/>
      <c r="N230" s="23"/>
      <c r="O230" s="23" t="e">
        <f t="shared" si="36"/>
        <v>#VALUE!</v>
      </c>
      <c r="P230" s="23"/>
      <c r="Q230" s="23"/>
      <c r="R230" s="27"/>
      <c r="S230" s="27"/>
      <c r="T230" s="23">
        <v>50236428</v>
      </c>
      <c r="U230" s="28">
        <v>3230341876073</v>
      </c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 t="s">
        <v>40</v>
      </c>
      <c r="AN230" s="23" t="s">
        <v>58</v>
      </c>
      <c r="AO230" s="23" t="s">
        <v>58</v>
      </c>
      <c r="AP230" s="23"/>
      <c r="AQ230" s="23"/>
      <c r="AR230" s="23"/>
      <c r="AS230" s="23" t="str">
        <f>IF(AND(AN230="Yes"), "Yes", IF(AND(AN230=""), "No", "Incomplete"))</f>
        <v>Yes</v>
      </c>
      <c r="AT230" s="29" t="str">
        <f t="shared" ref="AT230:AT237" si="37">IF(AM230="Matric",IF(AN230="Yes","Yes",IF(AN230="Under Process", "Under Process","No")),IF(AM230="Inter",IF(AO230="Yes","Yes",IF(AO230="Under Process", "Under Process","No")),IF(AM230="Bachelor",IF(AP230="Yes","Yes",IF(AP230="Under Process", "Under Process","No")),IF(AM230="Master",IF(AQ230="Yes","Yes",IF(AQ230="Under Process", "Under Process","No")),IF(AM230="Vacant",IF(D239="Yes","No","Vacant"),IF(AM230="NA",IF(D239="Yes","No","NA"),"No"))))))</f>
        <v>Yes</v>
      </c>
      <c r="AU230" s="30"/>
      <c r="AV230" s="31"/>
      <c r="AW230" s="31" t="s">
        <v>59</v>
      </c>
      <c r="AX230" s="2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</row>
    <row r="231" spans="1:74" x14ac:dyDescent="0.25">
      <c r="A231" s="25">
        <v>228</v>
      </c>
      <c r="B231" s="23" t="s">
        <v>720</v>
      </c>
      <c r="C231" s="23" t="s">
        <v>721</v>
      </c>
      <c r="D231" s="26" t="s">
        <v>722</v>
      </c>
      <c r="E231" s="23">
        <v>17</v>
      </c>
      <c r="F231" s="23" t="s">
        <v>586</v>
      </c>
      <c r="G231" s="23">
        <f>VLOOKUP(C231,[2]Sheet2!$T$3:$V$92,3,FALSE)</f>
        <v>48</v>
      </c>
      <c r="H231" s="23" t="s">
        <v>54</v>
      </c>
      <c r="I231" s="23" t="s">
        <v>436</v>
      </c>
      <c r="J231" s="23"/>
      <c r="L231" s="23"/>
      <c r="M231" s="23"/>
      <c r="N231" s="23" t="s">
        <v>56</v>
      </c>
      <c r="O231" s="23" t="e">
        <f ca="1">IF(ISNUMBER(SEARCH("to", N231)),
_xlfn.LET(
    _xlpm.text_n3, N231,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231" s="23"/>
      <c r="Q231" s="23" t="s">
        <v>57</v>
      </c>
      <c r="R231" s="27"/>
      <c r="S231" s="27"/>
      <c r="T231" s="23">
        <v>10449162</v>
      </c>
      <c r="U231" s="28">
        <v>4520475092355</v>
      </c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 t="s">
        <v>42</v>
      </c>
      <c r="AN231" s="23" t="s">
        <v>58</v>
      </c>
      <c r="AO231" s="23" t="s">
        <v>58</v>
      </c>
      <c r="AP231" s="23" t="s">
        <v>58</v>
      </c>
      <c r="AQ231" s="23" t="s">
        <v>58</v>
      </c>
      <c r="AR231" s="23"/>
      <c r="AS231" s="23" t="str">
        <f>IF(AND(AN231="Yes", AO231="Yes", AP231="Yes"), "Yes", IF(AND(AN231="", AO231="", AP231=""), "No", "Incomplete"))</f>
        <v>Yes</v>
      </c>
      <c r="AT231" s="29" t="str">
        <f t="shared" si="37"/>
        <v>Yes</v>
      </c>
      <c r="AU231" s="30"/>
      <c r="AV231" s="31"/>
      <c r="AW231" s="31" t="s">
        <v>59</v>
      </c>
      <c r="AX231" s="2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</row>
    <row r="232" spans="1:74" x14ac:dyDescent="0.25">
      <c r="A232" s="25">
        <v>229</v>
      </c>
      <c r="B232" s="23" t="s">
        <v>723</v>
      </c>
      <c r="C232" s="23" t="s">
        <v>721</v>
      </c>
      <c r="D232" s="26" t="s">
        <v>66</v>
      </c>
      <c r="E232" s="23">
        <v>16</v>
      </c>
      <c r="F232" s="23" t="s">
        <v>67</v>
      </c>
      <c r="G232" s="23">
        <f>VLOOKUP(C232,[2]Sheet2!$T$3:$V$92,3,FALSE)</f>
        <v>48</v>
      </c>
      <c r="H232" s="23" t="s">
        <v>68</v>
      </c>
      <c r="I232" s="23" t="s">
        <v>436</v>
      </c>
      <c r="J232" s="23"/>
      <c r="L232" s="23"/>
      <c r="M232" s="23"/>
      <c r="N232" s="23"/>
      <c r="O232" s="23" t="e">
        <f>IF(DATEVALUE(MID(N232,15,10))-DATEVALUE(LEFT(N232,10))+1&gt;=365,"1 Year",
DATEDIF(DATEVALUE(LEFT(N232,10)),DATEVALUE(MID(N232,15,10)),"Y")&amp;" Years, "&amp;DATEDIF(DATEVALUE(LEFT(N232,10)),DATEVALUE(MID(N232,15,10)),"YM")&amp;" Months, "&amp;DATEDIF(DATEVALUE(LEFT(N232,10)),DATEVALUE(MID(N232,15,10)),"MD")&amp;" Days")</f>
        <v>#VALUE!</v>
      </c>
      <c r="P232" s="23"/>
      <c r="Q232" s="23"/>
      <c r="R232" s="27"/>
      <c r="S232" s="27"/>
      <c r="T232" s="23"/>
      <c r="U232" s="28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 t="s">
        <v>66</v>
      </c>
      <c r="AN232" s="23"/>
      <c r="AO232" s="23"/>
      <c r="AP232" s="23"/>
      <c r="AQ232" s="23"/>
      <c r="AR232" s="23"/>
      <c r="AS232" s="23" t="str">
        <f>IF(AND(AN232="Yes", AO232="Yes", AP232="Yes"), "Yes", IF(AND(AN232="", AO232="", AP232=""), "No", "Incomplete"))</f>
        <v>No</v>
      </c>
      <c r="AT232" s="29" t="str">
        <f t="shared" si="37"/>
        <v>Vacant</v>
      </c>
      <c r="AU232" s="30"/>
      <c r="AV232" s="31"/>
      <c r="AW232" s="31"/>
      <c r="AX232" s="2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</row>
    <row r="233" spans="1:74" x14ac:dyDescent="0.25">
      <c r="A233" s="25">
        <v>230</v>
      </c>
      <c r="B233" s="23" t="s">
        <v>724</v>
      </c>
      <c r="C233" s="23" t="s">
        <v>721</v>
      </c>
      <c r="D233" s="26" t="s">
        <v>725</v>
      </c>
      <c r="E233" s="23">
        <v>13</v>
      </c>
      <c r="F233" s="23" t="s">
        <v>131</v>
      </c>
      <c r="G233" s="23">
        <f>VLOOKUP(C233,[2]Sheet2!$T$3:$V$92,3,FALSE)</f>
        <v>48</v>
      </c>
      <c r="H233" s="23" t="s">
        <v>68</v>
      </c>
      <c r="I233" s="23" t="s">
        <v>436</v>
      </c>
      <c r="J233" s="23">
        <v>1</v>
      </c>
      <c r="K233" s="6">
        <v>0.9</v>
      </c>
      <c r="L233" s="23" t="s">
        <v>702</v>
      </c>
      <c r="M233" s="23"/>
      <c r="N233" s="23"/>
      <c r="O233" s="23" t="e">
        <f>IF(DATEVALUE(MID(N233,15,10))-DATEVALUE(LEFT(N233,10))+1&gt;=365,"1 Year",
DATEDIF(DATEVALUE(LEFT(N233,10)),DATEVALUE(MID(N233,15,10)),"Y")&amp;" Years, "&amp;DATEDIF(DATEVALUE(LEFT(N233,10)),DATEVALUE(MID(N233,15,10)),"YM")&amp;" Months, "&amp;DATEDIF(DATEVALUE(LEFT(N233,10)),DATEVALUE(MID(N233,15,10)),"MD")&amp;" Days")</f>
        <v>#VALUE!</v>
      </c>
      <c r="P233" s="23"/>
      <c r="Q233" s="23"/>
      <c r="R233" s="27"/>
      <c r="S233" s="27"/>
      <c r="T233" s="23">
        <v>50698774</v>
      </c>
      <c r="U233" s="28">
        <v>4530150810195</v>
      </c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 t="s">
        <v>41</v>
      </c>
      <c r="AN233" s="32" t="s">
        <v>58</v>
      </c>
      <c r="AO233" s="32" t="s">
        <v>58</v>
      </c>
      <c r="AP233" s="32" t="s">
        <v>58</v>
      </c>
      <c r="AQ233" s="23"/>
      <c r="AR233" s="23"/>
      <c r="AS233" s="23" t="str">
        <f>IF(AND(AN233="Yes", AO233="Yes"), "Yes", IF(AND(AN233="", AO233=""), "No", "Incomplete"))</f>
        <v>Yes</v>
      </c>
      <c r="AT233" s="29" t="str">
        <f t="shared" si="37"/>
        <v>Yes</v>
      </c>
      <c r="AU233" s="30"/>
      <c r="AV233" s="31"/>
      <c r="AW233" s="31" t="s">
        <v>59</v>
      </c>
      <c r="AX233" s="2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</row>
    <row r="234" spans="1:74" x14ac:dyDescent="0.25">
      <c r="A234" s="25">
        <v>226</v>
      </c>
      <c r="B234" s="23" t="s">
        <v>726</v>
      </c>
      <c r="C234" s="23" t="s">
        <v>721</v>
      </c>
      <c r="D234" s="26" t="s">
        <v>727</v>
      </c>
      <c r="E234" s="23">
        <v>4</v>
      </c>
      <c r="F234" s="23" t="s">
        <v>161</v>
      </c>
      <c r="G234" s="23">
        <f>VLOOKUP(C234,[2]Sheet2!$T$3:$V$92,3,FALSE)</f>
        <v>48</v>
      </c>
      <c r="H234" s="23" t="s">
        <v>68</v>
      </c>
      <c r="I234" s="23" t="s">
        <v>436</v>
      </c>
      <c r="J234" s="23">
        <v>1</v>
      </c>
      <c r="K234" s="6">
        <v>0.7</v>
      </c>
      <c r="L234" s="23" t="s">
        <v>574</v>
      </c>
      <c r="M234" s="43" t="s">
        <v>728</v>
      </c>
      <c r="N234" s="43"/>
      <c r="O234" s="23" t="e">
        <f>IF(DATEVALUE(MID(N234,15,10))-DATEVALUE(LEFT(N234,10))+1&gt;=365,"1 Year",
DATEDIF(DATEVALUE(LEFT(N234,10)),DATEVALUE(MID(N234,15,10)),"Y")&amp;" Years, "&amp;DATEDIF(DATEVALUE(LEFT(N234,10)),DATEVALUE(MID(N234,15,10)),"YM")&amp;" Months, "&amp;DATEDIF(DATEVALUE(LEFT(N234,10)),DATEVALUE(MID(N234,15,10)),"MD")&amp;" Days")</f>
        <v>#VALUE!</v>
      </c>
      <c r="P234" s="43"/>
      <c r="Q234" s="43"/>
      <c r="R234" s="44">
        <v>41456</v>
      </c>
      <c r="S234" s="44">
        <v>46041</v>
      </c>
      <c r="T234" s="23">
        <v>50178114</v>
      </c>
      <c r="U234" s="28">
        <v>4420329413393</v>
      </c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 t="s">
        <v>73</v>
      </c>
      <c r="AN234" s="23"/>
      <c r="AO234" s="23"/>
      <c r="AP234" s="23"/>
      <c r="AQ234" s="23"/>
      <c r="AR234" s="23"/>
      <c r="AS234" s="23" t="str">
        <f>IF(AND(AN234="Yes"), "Yes", IF(AND(AN234=""), "No", "Incomplete"))</f>
        <v>No</v>
      </c>
      <c r="AT234" s="29" t="str">
        <f t="shared" si="37"/>
        <v>NA</v>
      </c>
      <c r="AU234" s="30"/>
      <c r="AV234" s="31"/>
      <c r="AW234" s="31" t="s">
        <v>59</v>
      </c>
      <c r="AX234" s="2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</row>
    <row r="235" spans="1:74" x14ac:dyDescent="0.25">
      <c r="A235" s="25">
        <v>232</v>
      </c>
      <c r="B235" s="23" t="s">
        <v>729</v>
      </c>
      <c r="C235" s="23" t="s">
        <v>721</v>
      </c>
      <c r="D235" s="26" t="s">
        <v>730</v>
      </c>
      <c r="E235" s="23">
        <v>2</v>
      </c>
      <c r="F235" s="23" t="s">
        <v>71</v>
      </c>
      <c r="G235" s="23">
        <f>VLOOKUP(C235,[2]Sheet2!$T$3:$V$92,3,FALSE)</f>
        <v>48</v>
      </c>
      <c r="H235" s="23" t="s">
        <v>68</v>
      </c>
      <c r="I235" s="23" t="s">
        <v>436</v>
      </c>
      <c r="J235" s="23">
        <v>1</v>
      </c>
      <c r="K235" s="6">
        <v>0.72</v>
      </c>
      <c r="L235" s="23" t="s">
        <v>574</v>
      </c>
      <c r="M235" s="23"/>
      <c r="N235" s="23"/>
      <c r="O235" s="23" t="e">
        <f>IF(DATEVALUE(MID(N235,15,10))-DATEVALUE(LEFT(N235,10))+1&gt;=365,"1 Year",
DATEDIF(DATEVALUE(LEFT(N235,10)),DATEVALUE(MID(N235,15,10)),"Y")&amp;" Years, "&amp;DATEDIF(DATEVALUE(LEFT(N235,10)),DATEVALUE(MID(N235,15,10)),"YM")&amp;" Months, "&amp;DATEDIF(DATEVALUE(LEFT(N235,10)),DATEVALUE(MID(N235,15,10)),"MD")&amp;" Days")</f>
        <v>#VALUE!</v>
      </c>
      <c r="P235" s="23"/>
      <c r="Q235" s="23"/>
      <c r="R235" s="27"/>
      <c r="S235" s="27"/>
      <c r="T235" s="23">
        <v>50745474</v>
      </c>
      <c r="U235" s="28">
        <v>4540404500349</v>
      </c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 t="s">
        <v>73</v>
      </c>
      <c r="AN235" s="23"/>
      <c r="AO235" s="23"/>
      <c r="AP235" s="23"/>
      <c r="AQ235" s="23"/>
      <c r="AR235" s="23"/>
      <c r="AS235" s="23" t="str">
        <f>IF(AND(AN235="Yes"), "Yes", IF(AND(AN235=""), "No", "Incomplete"))</f>
        <v>No</v>
      </c>
      <c r="AT235" s="29" t="str">
        <f t="shared" si="37"/>
        <v>NA</v>
      </c>
      <c r="AU235" s="30"/>
      <c r="AV235" s="31"/>
      <c r="AW235" s="31" t="s">
        <v>59</v>
      </c>
      <c r="AX235" s="2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</row>
    <row r="236" spans="1:74" x14ac:dyDescent="0.25">
      <c r="A236" s="25">
        <v>115</v>
      </c>
      <c r="B236" s="23" t="s">
        <v>731</v>
      </c>
      <c r="C236" s="23" t="s">
        <v>732</v>
      </c>
      <c r="D236" s="26" t="s">
        <v>66</v>
      </c>
      <c r="E236" s="23">
        <v>18</v>
      </c>
      <c r="F236" s="23" t="s">
        <v>733</v>
      </c>
      <c r="G236" s="23">
        <f>VLOOKUP(C236,[2]Sheet2!$T$3:$V$92,3,FALSE)</f>
        <v>49</v>
      </c>
      <c r="H236" s="23" t="s">
        <v>54</v>
      </c>
      <c r="I236" s="23" t="s">
        <v>436</v>
      </c>
      <c r="J236" s="23"/>
      <c r="L236" s="23"/>
      <c r="M236" s="23"/>
      <c r="N236" s="23"/>
      <c r="O236" s="23" t="str">
        <f>IF(ISNUMBER(SEARCH("to", N236)),
_xlfn.LET(
    _xlpm.text_n3, N236,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236" s="23"/>
      <c r="Q236" s="23"/>
      <c r="R236" s="27"/>
      <c r="S236" s="27"/>
      <c r="T236" s="23"/>
      <c r="U236" s="28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 t="s">
        <v>66</v>
      </c>
      <c r="AN236" s="23"/>
      <c r="AO236" s="23"/>
      <c r="AP236" s="23"/>
      <c r="AQ236" s="23"/>
      <c r="AR236" s="23"/>
      <c r="AS236" s="23" t="str">
        <f>IF(AND(AN236="Yes", AO236="Yes", AP236="Yes"), "Yes", IF(AND(AN236="", AO236="", AP236=""), "No", "Incomplete"))</f>
        <v>No</v>
      </c>
      <c r="AT236" s="29" t="str">
        <f t="shared" si="37"/>
        <v>Vacant</v>
      </c>
      <c r="AU236" s="30"/>
      <c r="AV236" s="31"/>
      <c r="AW236" s="31"/>
      <c r="AX236" s="2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</row>
    <row r="237" spans="1:74" x14ac:dyDescent="0.25">
      <c r="A237" s="25">
        <v>233</v>
      </c>
      <c r="B237" s="23" t="s">
        <v>734</v>
      </c>
      <c r="C237" s="23" t="s">
        <v>732</v>
      </c>
      <c r="D237" s="26" t="s">
        <v>735</v>
      </c>
      <c r="E237" s="23">
        <v>18</v>
      </c>
      <c r="F237" s="23" t="s">
        <v>440</v>
      </c>
      <c r="G237" s="23">
        <f>VLOOKUP(C237,[2]Sheet2!$T$3:$V$92,3,FALSE)</f>
        <v>49</v>
      </c>
      <c r="H237" s="23" t="s">
        <v>54</v>
      </c>
      <c r="I237" s="23" t="s">
        <v>436</v>
      </c>
      <c r="J237" s="23"/>
      <c r="L237" s="23"/>
      <c r="M237" s="23"/>
      <c r="N237" s="23" t="s">
        <v>56</v>
      </c>
      <c r="O237" s="23" t="e">
        <f ca="1">IF(ISNUMBER(SEARCH("to", N237)),
_xlfn.LET(
    _xlpm.text_n3, N237,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237" s="23"/>
      <c r="Q237" s="23" t="s">
        <v>57</v>
      </c>
      <c r="R237" s="27"/>
      <c r="S237" s="27"/>
      <c r="T237" s="23">
        <v>50091951</v>
      </c>
      <c r="U237" s="28">
        <v>4520367395179</v>
      </c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 t="s">
        <v>42</v>
      </c>
      <c r="AN237" s="23"/>
      <c r="AO237" s="23"/>
      <c r="AP237" s="23" t="s">
        <v>58</v>
      </c>
      <c r="AQ237" s="23" t="s">
        <v>58</v>
      </c>
      <c r="AR237" s="23"/>
      <c r="AS237" s="23" t="str">
        <f>IF(AND(AN237="Yes", AO237="Yes", AP237="Yes"), "Yes", IF(AND(AN237="", AO237="", AP237=""), "No", "Incomplete"))</f>
        <v>Incomplete</v>
      </c>
      <c r="AT237" s="29" t="str">
        <f t="shared" si="37"/>
        <v>Yes</v>
      </c>
      <c r="AU237" s="30"/>
      <c r="AV237" s="31"/>
      <c r="AW237" s="31" t="s">
        <v>59</v>
      </c>
      <c r="AX237" s="2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</row>
    <row r="238" spans="1:74" x14ac:dyDescent="0.25">
      <c r="A238" s="25"/>
      <c r="B238" s="23" t="s">
        <v>736</v>
      </c>
      <c r="C238" s="23" t="s">
        <v>732</v>
      </c>
      <c r="D238" s="26" t="s">
        <v>66</v>
      </c>
      <c r="E238" s="23">
        <v>17</v>
      </c>
      <c r="F238" s="23" t="s">
        <v>586</v>
      </c>
      <c r="G238" s="23">
        <f>VLOOKUP(C238,[2]Sheet2!$T$3:$V$92,3,FALSE)</f>
        <v>49</v>
      </c>
      <c r="H238" s="23" t="s">
        <v>54</v>
      </c>
      <c r="I238" s="23" t="s">
        <v>436</v>
      </c>
      <c r="J238" s="23"/>
      <c r="L238" s="23"/>
      <c r="M238" s="23"/>
      <c r="N238" s="23"/>
      <c r="O238" s="23"/>
      <c r="P238" s="23"/>
      <c r="Q238" s="23"/>
      <c r="R238" s="27"/>
      <c r="S238" s="27"/>
      <c r="T238" s="23"/>
      <c r="U238" s="28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9"/>
      <c r="AU238" s="30"/>
      <c r="AV238" s="31"/>
      <c r="AW238" s="31"/>
      <c r="AX238" s="2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</row>
    <row r="239" spans="1:74" ht="28.5" x14ac:dyDescent="0.25">
      <c r="A239" s="25">
        <v>235</v>
      </c>
      <c r="B239" s="23" t="s">
        <v>737</v>
      </c>
      <c r="C239" s="23" t="s">
        <v>732</v>
      </c>
      <c r="D239" s="26" t="s">
        <v>738</v>
      </c>
      <c r="E239" s="23">
        <v>16</v>
      </c>
      <c r="F239" s="23" t="s">
        <v>67</v>
      </c>
      <c r="G239" s="23">
        <f>VLOOKUP(C239,[2]Sheet2!$T$3:$V$92,3,FALSE)</f>
        <v>49</v>
      </c>
      <c r="H239" s="23" t="s">
        <v>68</v>
      </c>
      <c r="I239" s="23" t="s">
        <v>436</v>
      </c>
      <c r="J239" s="23">
        <v>2</v>
      </c>
      <c r="K239" s="6">
        <v>0.8</v>
      </c>
      <c r="L239" s="23" t="s">
        <v>702</v>
      </c>
      <c r="M239" s="23"/>
      <c r="N239" s="23" t="s">
        <v>95</v>
      </c>
      <c r="O239" s="23" t="str">
        <f t="shared" ref="O239:O250" si="38">IF(DATEVALUE(MID(N239,15,10))-DATEVALUE(LEFT(N239,10))+1&gt;=365,"1 Year",
DATEDIF(DATEVALUE(LEFT(N239,10)),DATEVALUE(MID(N239,15,10)),"Y")&amp;" Years, "&amp;DATEDIF(DATEVALUE(LEFT(N239,10)),DATEVALUE(MID(N239,15,10)),"YM")&amp;" Months, "&amp;DATEDIF(DATEVALUE(LEFT(N239,10)),DATEVALUE(MID(N239,15,10)),"MD")&amp;" Days")</f>
        <v>1 Year</v>
      </c>
      <c r="P239" s="23" t="s">
        <v>238</v>
      </c>
      <c r="Q239" s="23" t="s">
        <v>646</v>
      </c>
      <c r="R239" s="27"/>
      <c r="S239" s="27"/>
      <c r="T239" s="23">
        <v>50170333</v>
      </c>
      <c r="U239" s="28">
        <v>4130288907511</v>
      </c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 t="s">
        <v>42</v>
      </c>
      <c r="AN239" s="23"/>
      <c r="AO239" s="23"/>
      <c r="AP239" s="32" t="s">
        <v>58</v>
      </c>
      <c r="AQ239" s="32" t="s">
        <v>58</v>
      </c>
      <c r="AR239" s="23"/>
      <c r="AS239" s="23" t="str">
        <f>IF(AND(AN239="Yes", AO239="Yes", AP239="Yes"), "Yes", IF(AND(AN239="", AO239="", AP239=""), "No", "Incomplete"))</f>
        <v>Incomplete</v>
      </c>
      <c r="AT239" s="29" t="str">
        <f t="shared" si="35"/>
        <v>Yes</v>
      </c>
      <c r="AU239" s="30"/>
      <c r="AV239" s="31"/>
      <c r="AW239" s="31" t="s">
        <v>59</v>
      </c>
      <c r="AX239" s="2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</row>
    <row r="240" spans="1:74" ht="28.5" x14ac:dyDescent="0.25">
      <c r="A240" s="25">
        <v>236</v>
      </c>
      <c r="B240" s="23" t="s">
        <v>739</v>
      </c>
      <c r="C240" s="23" t="s">
        <v>732</v>
      </c>
      <c r="D240" s="26" t="s">
        <v>740</v>
      </c>
      <c r="E240" s="23">
        <v>15</v>
      </c>
      <c r="F240" s="23" t="s">
        <v>108</v>
      </c>
      <c r="G240" s="23">
        <f>VLOOKUP(C240,[2]Sheet2!$T$3:$V$92,3,FALSE)</f>
        <v>49</v>
      </c>
      <c r="H240" s="23" t="s">
        <v>68</v>
      </c>
      <c r="I240" s="23" t="s">
        <v>436</v>
      </c>
      <c r="J240" s="23">
        <v>1</v>
      </c>
      <c r="K240" s="6">
        <v>0.72</v>
      </c>
      <c r="L240" s="23" t="s">
        <v>574</v>
      </c>
      <c r="M240" s="23"/>
      <c r="N240" s="23" t="s">
        <v>95</v>
      </c>
      <c r="O240" s="23" t="str">
        <f t="shared" si="38"/>
        <v>1 Year</v>
      </c>
      <c r="P240" s="23" t="s">
        <v>515</v>
      </c>
      <c r="Q240" s="23" t="s">
        <v>646</v>
      </c>
      <c r="R240" s="27"/>
      <c r="S240" s="27"/>
      <c r="T240" s="23">
        <v>50170167</v>
      </c>
      <c r="U240" s="28">
        <v>4540280435135</v>
      </c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 t="s">
        <v>42</v>
      </c>
      <c r="AN240" s="23"/>
      <c r="AO240" s="23"/>
      <c r="AP240" s="23" t="s">
        <v>58</v>
      </c>
      <c r="AQ240" s="32" t="s">
        <v>58</v>
      </c>
      <c r="AR240" s="23"/>
      <c r="AS240" s="23" t="str">
        <f>IF(AND(AN240="Yes", AO240="Yes", AP240="Yes"), "Yes", IF(AND(AN240="", AO240="", AP240=""), "No", "Incomplete"))</f>
        <v>Incomplete</v>
      </c>
      <c r="AT240" s="29" t="str">
        <f t="shared" si="35"/>
        <v>Yes</v>
      </c>
      <c r="AU240" s="30"/>
      <c r="AV240" s="31" t="s">
        <v>64</v>
      </c>
      <c r="AW240" s="31" t="s">
        <v>59</v>
      </c>
      <c r="AX240" s="2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</row>
    <row r="241" spans="1:74" ht="28.5" x14ac:dyDescent="0.25">
      <c r="A241" s="25">
        <v>237</v>
      </c>
      <c r="B241" s="23" t="s">
        <v>741</v>
      </c>
      <c r="C241" s="23" t="s">
        <v>732</v>
      </c>
      <c r="D241" s="26" t="s">
        <v>742</v>
      </c>
      <c r="E241" s="23">
        <v>15</v>
      </c>
      <c r="F241" s="23" t="s">
        <v>108</v>
      </c>
      <c r="G241" s="23">
        <f>VLOOKUP(C241,[2]Sheet2!$T$3:$V$92,3,FALSE)</f>
        <v>49</v>
      </c>
      <c r="H241" s="23" t="s">
        <v>68</v>
      </c>
      <c r="I241" s="23" t="s">
        <v>436</v>
      </c>
      <c r="J241" s="23">
        <v>1</v>
      </c>
      <c r="K241" s="6">
        <v>0.8</v>
      </c>
      <c r="L241" s="23" t="s">
        <v>743</v>
      </c>
      <c r="M241" s="23"/>
      <c r="N241" s="23" t="s">
        <v>95</v>
      </c>
      <c r="O241" s="23" t="str">
        <f t="shared" si="38"/>
        <v>1 Year</v>
      </c>
      <c r="P241" s="23" t="s">
        <v>96</v>
      </c>
      <c r="Q241" s="23" t="s">
        <v>646</v>
      </c>
      <c r="R241" s="27"/>
      <c r="S241" s="27"/>
      <c r="T241" s="23">
        <v>50703006</v>
      </c>
      <c r="U241" s="28">
        <v>4320306289075</v>
      </c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 t="s">
        <v>41</v>
      </c>
      <c r="AN241" s="32" t="s">
        <v>58</v>
      </c>
      <c r="AO241" s="32" t="s">
        <v>58</v>
      </c>
      <c r="AP241" s="32" t="s">
        <v>58</v>
      </c>
      <c r="AQ241" s="23"/>
      <c r="AR241" s="23" t="s">
        <v>398</v>
      </c>
      <c r="AS241" s="23" t="str">
        <f>IF(AND(AN241="Yes", AO241="Yes", AP241="Yes"), "Yes", IF(AND(AN241="", AO241="", AP241=""), "No", "Incomplete"))</f>
        <v>Yes</v>
      </c>
      <c r="AT241" s="29" t="str">
        <f t="shared" si="35"/>
        <v>Yes</v>
      </c>
      <c r="AU241" s="30"/>
      <c r="AV241" s="31"/>
      <c r="AW241" s="31" t="s">
        <v>59</v>
      </c>
      <c r="AX241" s="2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</row>
    <row r="242" spans="1:74" ht="28.5" x14ac:dyDescent="0.25">
      <c r="A242" s="25">
        <v>238</v>
      </c>
      <c r="B242" s="23" t="s">
        <v>744</v>
      </c>
      <c r="C242" s="23" t="s">
        <v>732</v>
      </c>
      <c r="D242" s="26" t="s">
        <v>745</v>
      </c>
      <c r="E242" s="23">
        <v>14</v>
      </c>
      <c r="F242" s="23" t="s">
        <v>108</v>
      </c>
      <c r="G242" s="23">
        <f>VLOOKUP(C242,[2]Sheet2!$T$3:$V$92,3,FALSE)</f>
        <v>49</v>
      </c>
      <c r="H242" s="23" t="s">
        <v>68</v>
      </c>
      <c r="I242" s="23" t="s">
        <v>436</v>
      </c>
      <c r="J242" s="23"/>
      <c r="K242" s="6">
        <v>0</v>
      </c>
      <c r="L242" s="23"/>
      <c r="M242" s="23"/>
      <c r="N242" s="23" t="s">
        <v>746</v>
      </c>
      <c r="O242" s="23" t="str">
        <f t="shared" si="38"/>
        <v>0 Years, 9 Months, 21 Days</v>
      </c>
      <c r="P242" s="23" t="s">
        <v>238</v>
      </c>
      <c r="Q242" s="23" t="s">
        <v>646</v>
      </c>
      <c r="R242" s="27">
        <v>44693</v>
      </c>
      <c r="S242" s="27">
        <v>45953</v>
      </c>
      <c r="T242" s="23">
        <v>50698770</v>
      </c>
      <c r="U242" s="28">
        <v>4530314476325</v>
      </c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 t="s">
        <v>41</v>
      </c>
      <c r="AN242" s="23" t="s">
        <v>58</v>
      </c>
      <c r="AO242" s="23" t="s">
        <v>58</v>
      </c>
      <c r="AP242" s="32" t="s">
        <v>58</v>
      </c>
      <c r="AQ242" s="23"/>
      <c r="AR242" s="23"/>
      <c r="AS242" s="23" t="str">
        <f>IF(AND(AN242="Yes"), "Yes", IF(AND(AN242=""), "No", "Incomplete"))</f>
        <v>Yes</v>
      </c>
      <c r="AT242" s="29" t="str">
        <f>IF(AM242="Matric",IF(AN242="Yes","Yes",IF(AN242="Under Process", "Under Process","No")),IF(AM242="Inter",IF(AO242="Yes","Yes",IF(AO242="Under Process", "Under Process","No")),IF(AM242="Bachelor",IF(AP242="Yes","Yes",IF(AP242="Under Process", "Under Process","No")),IF(AM242="Master",IF(AQ242="Yes","Yes",IF(AQ242="Under Process", "Under Process","No")),IF(AM242="Vacant",IF(D253="Yes","No","Vacant"),IF(AM242="NA",IF(D253="Yes","No","NA"),"No"))))))</f>
        <v>Yes</v>
      </c>
      <c r="AU242" s="30"/>
      <c r="AV242" s="31"/>
      <c r="AW242" s="31" t="s">
        <v>59</v>
      </c>
      <c r="AX242" s="2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</row>
    <row r="243" spans="1:74" x14ac:dyDescent="0.25">
      <c r="A243" s="25">
        <v>239</v>
      </c>
      <c r="B243" s="23" t="s">
        <v>747</v>
      </c>
      <c r="C243" s="23" t="s">
        <v>732</v>
      </c>
      <c r="D243" s="26" t="s">
        <v>748</v>
      </c>
      <c r="E243" s="23">
        <v>13</v>
      </c>
      <c r="F243" s="23" t="s">
        <v>131</v>
      </c>
      <c r="G243" s="23">
        <f>VLOOKUP(C243,[2]Sheet2!$T$3:$V$92,3,FALSE)</f>
        <v>49</v>
      </c>
      <c r="H243" s="23" t="s">
        <v>68</v>
      </c>
      <c r="I243" s="23" t="s">
        <v>436</v>
      </c>
      <c r="J243" s="23">
        <v>1</v>
      </c>
      <c r="K243" s="6">
        <v>0.77</v>
      </c>
      <c r="L243" s="23" t="s">
        <v>574</v>
      </c>
      <c r="M243" s="23"/>
      <c r="N243" s="23"/>
      <c r="O243" s="23" t="e">
        <f t="shared" si="38"/>
        <v>#VALUE!</v>
      </c>
      <c r="P243" s="23"/>
      <c r="Q243" s="23"/>
      <c r="R243" s="27"/>
      <c r="S243" s="27"/>
      <c r="T243" s="23">
        <v>10452629</v>
      </c>
      <c r="U243" s="28">
        <v>4530191333377</v>
      </c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 t="s">
        <v>40</v>
      </c>
      <c r="AN243" s="23" t="s">
        <v>58</v>
      </c>
      <c r="AO243" s="23" t="s">
        <v>58</v>
      </c>
      <c r="AP243" s="23"/>
      <c r="AQ243" s="23"/>
      <c r="AR243" s="23"/>
      <c r="AS243" s="23" t="str">
        <f>IF(AND(AN243="Yes", AO243="Yes"), "Yes", IF(AND(AN243="", AO243=""), "No", "Incomplete"))</f>
        <v>Yes</v>
      </c>
      <c r="AT243" s="29" t="str">
        <f t="shared" ref="AT243:AT282" si="39">IF(AM243="Matric",IF(AN243="Yes","Yes",IF(AN243="Under Process", "Under Process","No")),IF(AM243="Inter",IF(AO243="Yes","Yes",IF(AO243="Under Process", "Under Process","No")),IF(AM243="Bachelor",IF(AP243="Yes","Yes",IF(AP243="Under Process", "Under Process","No")),IF(AM243="Master",IF(AQ243="Yes","Yes",IF(AQ243="Under Process", "Under Process","No")),IF(AM243="Vacant",IF(D251="Yes","No","Vacant"),IF(AM243="NA",IF(D251="Yes","No","NA"),"No"))))))</f>
        <v>Yes</v>
      </c>
      <c r="AU243" s="30"/>
      <c r="AV243" s="31"/>
      <c r="AW243" s="31" t="s">
        <v>59</v>
      </c>
      <c r="AX243" s="2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</row>
    <row r="244" spans="1:74" ht="28.5" x14ac:dyDescent="0.25">
      <c r="A244" s="25">
        <v>240</v>
      </c>
      <c r="B244" s="23" t="s">
        <v>749</v>
      </c>
      <c r="C244" s="23" t="s">
        <v>732</v>
      </c>
      <c r="D244" s="26" t="s">
        <v>750</v>
      </c>
      <c r="E244" s="23">
        <v>11</v>
      </c>
      <c r="F244" s="23" t="s">
        <v>138</v>
      </c>
      <c r="G244" s="23">
        <f>VLOOKUP(C244,[2]Sheet2!$T$3:$V$92,3,FALSE)</f>
        <v>49</v>
      </c>
      <c r="H244" s="23" t="s">
        <v>68</v>
      </c>
      <c r="I244" s="23" t="s">
        <v>436</v>
      </c>
      <c r="J244" s="23">
        <v>1</v>
      </c>
      <c r="K244" s="6">
        <v>0.8</v>
      </c>
      <c r="L244" s="23" t="s">
        <v>743</v>
      </c>
      <c r="M244" s="23"/>
      <c r="N244" s="23" t="s">
        <v>95</v>
      </c>
      <c r="O244" s="23" t="str">
        <f t="shared" si="38"/>
        <v>1 Year</v>
      </c>
      <c r="P244" s="23" t="s">
        <v>238</v>
      </c>
      <c r="Q244" s="23"/>
      <c r="R244" s="27"/>
      <c r="S244" s="27"/>
      <c r="T244" s="23">
        <v>50389376</v>
      </c>
      <c r="U244" s="28">
        <v>4540190259325</v>
      </c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 t="s">
        <v>42</v>
      </c>
      <c r="AN244" s="23"/>
      <c r="AO244" s="23"/>
      <c r="AP244" s="32" t="s">
        <v>58</v>
      </c>
      <c r="AQ244" s="23" t="s">
        <v>58</v>
      </c>
      <c r="AR244" s="23"/>
      <c r="AS244" s="23" t="str">
        <f t="shared" ref="AS244:AS250" si="40">IF(AND(AN244="Yes"), "Yes", IF(AND(AN244=""), "No", "Incomplete"))</f>
        <v>No</v>
      </c>
      <c r="AT244" s="29" t="str">
        <f t="shared" si="39"/>
        <v>Yes</v>
      </c>
      <c r="AU244" s="30"/>
      <c r="AV244" s="31"/>
      <c r="AW244" s="31" t="s">
        <v>59</v>
      </c>
      <c r="AX244" s="2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</row>
    <row r="245" spans="1:74" x14ac:dyDescent="0.25">
      <c r="A245" s="25">
        <v>241</v>
      </c>
      <c r="B245" s="23" t="s">
        <v>751</v>
      </c>
      <c r="C245" s="23" t="s">
        <v>732</v>
      </c>
      <c r="D245" s="26" t="s">
        <v>752</v>
      </c>
      <c r="E245" s="23">
        <v>11</v>
      </c>
      <c r="F245" s="23" t="s">
        <v>138</v>
      </c>
      <c r="G245" s="23">
        <f>VLOOKUP(C245,[2]Sheet2!$T$3:$V$92,3,FALSE)</f>
        <v>49</v>
      </c>
      <c r="H245" s="23" t="s">
        <v>68</v>
      </c>
      <c r="I245" s="23" t="s">
        <v>436</v>
      </c>
      <c r="J245" s="23"/>
      <c r="K245" s="6">
        <v>0</v>
      </c>
      <c r="L245" s="23"/>
      <c r="M245" s="23"/>
      <c r="N245" s="23"/>
      <c r="O245" s="23" t="e">
        <f t="shared" si="38"/>
        <v>#VALUE!</v>
      </c>
      <c r="P245" s="23"/>
      <c r="Q245" s="23"/>
      <c r="R245" s="27"/>
      <c r="S245" s="27"/>
      <c r="T245" s="23">
        <v>50744702</v>
      </c>
      <c r="U245" s="28">
        <v>4540278346939</v>
      </c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"/>
      <c r="AH245" s="23"/>
      <c r="AI245" s="23"/>
      <c r="AJ245" s="23"/>
      <c r="AK245" s="23"/>
      <c r="AL245" s="23"/>
      <c r="AM245" s="23" t="s">
        <v>40</v>
      </c>
      <c r="AN245" s="31"/>
      <c r="AO245" s="71" t="s">
        <v>58</v>
      </c>
      <c r="AP245" s="31"/>
      <c r="AQ245" s="31"/>
      <c r="AR245" s="31"/>
      <c r="AS245" s="2" t="str">
        <f t="shared" si="40"/>
        <v>No</v>
      </c>
      <c r="AT245" s="48" t="str">
        <f t="shared" si="39"/>
        <v>Yes</v>
      </c>
      <c r="AU245" s="30"/>
      <c r="AV245" s="31"/>
      <c r="AW245" s="31"/>
      <c r="AX245" s="2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</row>
    <row r="246" spans="1:74" x14ac:dyDescent="0.25">
      <c r="A246" s="25">
        <v>242</v>
      </c>
      <c r="B246" s="23" t="s">
        <v>753</v>
      </c>
      <c r="C246" s="23" t="s">
        <v>732</v>
      </c>
      <c r="D246" s="26" t="s">
        <v>754</v>
      </c>
      <c r="E246" s="23">
        <v>7</v>
      </c>
      <c r="F246" s="23" t="s">
        <v>264</v>
      </c>
      <c r="G246" s="23">
        <f>VLOOKUP(C246,[2]Sheet2!$T$3:$V$92,3,FALSE)</f>
        <v>49</v>
      </c>
      <c r="H246" s="23" t="s">
        <v>68</v>
      </c>
      <c r="I246" s="23" t="s">
        <v>436</v>
      </c>
      <c r="J246" s="23">
        <v>1</v>
      </c>
      <c r="K246" s="6">
        <v>0.63</v>
      </c>
      <c r="L246" s="23" t="s">
        <v>427</v>
      </c>
      <c r="M246" s="23"/>
      <c r="N246" s="23"/>
      <c r="O246" s="23" t="e">
        <f t="shared" si="38"/>
        <v>#VALUE!</v>
      </c>
      <c r="P246" s="23"/>
      <c r="Q246" s="23"/>
      <c r="R246" s="27"/>
      <c r="S246" s="27"/>
      <c r="T246" s="23">
        <v>10206328</v>
      </c>
      <c r="U246" s="28">
        <v>4540291633761</v>
      </c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 t="s">
        <v>39</v>
      </c>
      <c r="AN246" s="32" t="s">
        <v>58</v>
      </c>
      <c r="AO246" s="23"/>
      <c r="AP246" s="23"/>
      <c r="AQ246" s="23"/>
      <c r="AR246" s="23"/>
      <c r="AS246" s="23" t="str">
        <f t="shared" si="40"/>
        <v>Yes</v>
      </c>
      <c r="AT246" s="29" t="str">
        <f t="shared" si="39"/>
        <v>Yes</v>
      </c>
      <c r="AU246" s="30"/>
      <c r="AV246" s="31"/>
      <c r="AW246" s="31" t="s">
        <v>59</v>
      </c>
      <c r="AX246" s="2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</row>
    <row r="247" spans="1:74" x14ac:dyDescent="0.25">
      <c r="A247" s="25">
        <v>243</v>
      </c>
      <c r="B247" s="23" t="s">
        <v>755</v>
      </c>
      <c r="C247" s="23" t="s">
        <v>732</v>
      </c>
      <c r="D247" s="26" t="s">
        <v>756</v>
      </c>
      <c r="E247" s="23">
        <v>4</v>
      </c>
      <c r="F247" s="23" t="s">
        <v>161</v>
      </c>
      <c r="G247" s="23">
        <f>VLOOKUP(C247,[2]Sheet2!$T$3:$V$92,3,FALSE)</f>
        <v>49</v>
      </c>
      <c r="H247" s="23" t="s">
        <v>68</v>
      </c>
      <c r="I247" s="23" t="s">
        <v>436</v>
      </c>
      <c r="J247" s="23">
        <v>1</v>
      </c>
      <c r="K247" s="6">
        <v>0.75</v>
      </c>
      <c r="L247" s="23" t="s">
        <v>574</v>
      </c>
      <c r="M247" s="43" t="s">
        <v>258</v>
      </c>
      <c r="N247" s="43"/>
      <c r="O247" s="23" t="e">
        <f t="shared" si="38"/>
        <v>#VALUE!</v>
      </c>
      <c r="P247" s="43"/>
      <c r="Q247" s="43"/>
      <c r="R247" s="44">
        <v>40196</v>
      </c>
      <c r="S247" s="44">
        <v>45124</v>
      </c>
      <c r="T247" s="23">
        <v>10685412</v>
      </c>
      <c r="U247" s="28">
        <v>4130310117461</v>
      </c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 t="s">
        <v>40</v>
      </c>
      <c r="AN247" s="32" t="s">
        <v>58</v>
      </c>
      <c r="AO247" s="32" t="s">
        <v>58</v>
      </c>
      <c r="AP247" s="23"/>
      <c r="AQ247" s="23"/>
      <c r="AR247" s="23"/>
      <c r="AS247" s="23" t="str">
        <f t="shared" si="40"/>
        <v>Yes</v>
      </c>
      <c r="AT247" s="29" t="str">
        <f t="shared" si="39"/>
        <v>Yes</v>
      </c>
      <c r="AU247" s="30"/>
      <c r="AV247" s="31"/>
      <c r="AW247" s="31" t="s">
        <v>59</v>
      </c>
      <c r="AX247" s="2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</row>
    <row r="248" spans="1:74" x14ac:dyDescent="0.25">
      <c r="A248" s="25">
        <v>244</v>
      </c>
      <c r="B248" s="23" t="s">
        <v>757</v>
      </c>
      <c r="C248" s="23" t="s">
        <v>732</v>
      </c>
      <c r="D248" s="26" t="s">
        <v>758</v>
      </c>
      <c r="E248" s="23">
        <v>4</v>
      </c>
      <c r="F248" s="23" t="s">
        <v>161</v>
      </c>
      <c r="G248" s="23">
        <f>VLOOKUP(C248,[2]Sheet2!$T$3:$V$92,3,FALSE)</f>
        <v>49</v>
      </c>
      <c r="H248" s="23" t="s">
        <v>68</v>
      </c>
      <c r="I248" s="23" t="s">
        <v>436</v>
      </c>
      <c r="J248" s="23">
        <v>1</v>
      </c>
      <c r="K248" s="6">
        <v>0.6</v>
      </c>
      <c r="L248" s="23" t="s">
        <v>427</v>
      </c>
      <c r="M248" s="43" t="s">
        <v>258</v>
      </c>
      <c r="N248" s="43"/>
      <c r="O248" s="23" t="e">
        <f t="shared" si="38"/>
        <v>#VALUE!</v>
      </c>
      <c r="P248" s="43"/>
      <c r="Q248" s="43"/>
      <c r="R248" s="44">
        <v>42074</v>
      </c>
      <c r="S248" s="44">
        <v>44897</v>
      </c>
      <c r="T248" s="23">
        <v>50236426</v>
      </c>
      <c r="U248" s="28">
        <v>4130353206771</v>
      </c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 t="s">
        <v>41</v>
      </c>
      <c r="AN248" s="23" t="s">
        <v>58</v>
      </c>
      <c r="AO248" s="23" t="s">
        <v>58</v>
      </c>
      <c r="AP248" s="32" t="s">
        <v>58</v>
      </c>
      <c r="AQ248" s="23"/>
      <c r="AR248" s="23"/>
      <c r="AS248" s="23" t="str">
        <f t="shared" si="40"/>
        <v>Yes</v>
      </c>
      <c r="AT248" s="29" t="str">
        <f t="shared" si="39"/>
        <v>Yes</v>
      </c>
      <c r="AU248" s="30"/>
      <c r="AV248" s="31"/>
      <c r="AW248" s="31" t="s">
        <v>59</v>
      </c>
      <c r="AX248" s="2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</row>
    <row r="249" spans="1:74" x14ac:dyDescent="0.25">
      <c r="A249" s="25">
        <v>245</v>
      </c>
      <c r="B249" s="23" t="s">
        <v>759</v>
      </c>
      <c r="C249" s="23" t="s">
        <v>732</v>
      </c>
      <c r="D249" s="26" t="s">
        <v>760</v>
      </c>
      <c r="E249" s="23">
        <v>4</v>
      </c>
      <c r="F249" s="23" t="s">
        <v>71</v>
      </c>
      <c r="G249" s="23">
        <f>VLOOKUP(C249,[2]Sheet2!$T$3:$V$92,3,FALSE)</f>
        <v>49</v>
      </c>
      <c r="H249" s="23" t="s">
        <v>68</v>
      </c>
      <c r="I249" s="23" t="s">
        <v>436</v>
      </c>
      <c r="J249" s="23">
        <v>1</v>
      </c>
      <c r="K249" s="6">
        <v>0.75</v>
      </c>
      <c r="L249" s="23" t="s">
        <v>574</v>
      </c>
      <c r="M249" s="23"/>
      <c r="N249" s="23"/>
      <c r="O249" s="23" t="e">
        <f t="shared" si="38"/>
        <v>#VALUE!</v>
      </c>
      <c r="P249" s="23"/>
      <c r="Q249" s="23"/>
      <c r="R249" s="27"/>
      <c r="S249" s="27"/>
      <c r="T249" s="23">
        <v>50698772</v>
      </c>
      <c r="U249" s="28">
        <v>4540362368473</v>
      </c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 t="s">
        <v>73</v>
      </c>
      <c r="AN249" s="23"/>
      <c r="AO249" s="23"/>
      <c r="AP249" s="23"/>
      <c r="AQ249" s="23"/>
      <c r="AR249" s="23"/>
      <c r="AS249" s="23" t="str">
        <f t="shared" si="40"/>
        <v>No</v>
      </c>
      <c r="AT249" s="29" t="str">
        <f t="shared" si="39"/>
        <v>NA</v>
      </c>
      <c r="AU249" s="30"/>
      <c r="AV249" s="31"/>
      <c r="AW249" s="31" t="s">
        <v>59</v>
      </c>
      <c r="AX249" s="2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</row>
    <row r="250" spans="1:74" x14ac:dyDescent="0.25">
      <c r="A250" s="25">
        <v>246</v>
      </c>
      <c r="B250" s="23" t="s">
        <v>761</v>
      </c>
      <c r="C250" s="23" t="s">
        <v>732</v>
      </c>
      <c r="D250" s="26" t="s">
        <v>762</v>
      </c>
      <c r="E250" s="23">
        <v>2</v>
      </c>
      <c r="F250" s="23" t="s">
        <v>71</v>
      </c>
      <c r="G250" s="23">
        <f>VLOOKUP(C250,[2]Sheet2!$T$3:$V$92,3,FALSE)</f>
        <v>49</v>
      </c>
      <c r="H250" s="23" t="s">
        <v>68</v>
      </c>
      <c r="I250" s="23" t="s">
        <v>436</v>
      </c>
      <c r="J250" s="23"/>
      <c r="K250" s="6">
        <v>0</v>
      </c>
      <c r="L250" s="23"/>
      <c r="M250" s="23"/>
      <c r="N250" s="23"/>
      <c r="O250" s="23" t="e">
        <f t="shared" si="38"/>
        <v>#VALUE!</v>
      </c>
      <c r="P250" s="23"/>
      <c r="Q250" s="23"/>
      <c r="R250" s="27"/>
      <c r="S250" s="27"/>
      <c r="T250" s="23"/>
      <c r="U250" s="28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 t="s">
        <v>73</v>
      </c>
      <c r="AN250" s="23"/>
      <c r="AO250" s="23"/>
      <c r="AP250" s="23"/>
      <c r="AQ250" s="23"/>
      <c r="AR250" s="23"/>
      <c r="AS250" s="23" t="str">
        <f t="shared" si="40"/>
        <v>No</v>
      </c>
      <c r="AT250" s="29" t="str">
        <f t="shared" si="39"/>
        <v>NA</v>
      </c>
      <c r="AU250" s="30"/>
      <c r="AV250" s="31"/>
      <c r="AW250" s="31"/>
      <c r="AX250" s="2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</row>
    <row r="251" spans="1:74" x14ac:dyDescent="0.25">
      <c r="A251" s="25">
        <v>247</v>
      </c>
      <c r="B251" s="23" t="s">
        <v>763</v>
      </c>
      <c r="C251" s="23" t="s">
        <v>764</v>
      </c>
      <c r="D251" s="26" t="s">
        <v>765</v>
      </c>
      <c r="E251" s="23">
        <v>18</v>
      </c>
      <c r="F251" s="23" t="s">
        <v>440</v>
      </c>
      <c r="G251" s="23">
        <f>VLOOKUP(C251,[2]Sheet2!$T$3:$V$92,3,FALSE)</f>
        <v>50</v>
      </c>
      <c r="H251" s="23" t="s">
        <v>54</v>
      </c>
      <c r="I251" s="23" t="s">
        <v>436</v>
      </c>
      <c r="J251" s="23"/>
      <c r="L251" s="23"/>
      <c r="M251" s="23"/>
      <c r="N251" s="23" t="s">
        <v>56</v>
      </c>
      <c r="O251" s="23" t="e">
        <f ca="1">IF(ISNUMBER(SEARCH("to", N251)),
_xlfn.LET(
    _xlpm.text_n3, N251,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251" s="23"/>
      <c r="Q251" s="23" t="s">
        <v>57</v>
      </c>
      <c r="R251" s="27"/>
      <c r="S251" s="27"/>
      <c r="T251" s="23">
        <v>30970105</v>
      </c>
      <c r="U251" s="28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 t="s">
        <v>42</v>
      </c>
      <c r="AN251" s="32" t="s">
        <v>58</v>
      </c>
      <c r="AO251" s="32" t="s">
        <v>58</v>
      </c>
      <c r="AP251" s="32" t="s">
        <v>58</v>
      </c>
      <c r="AQ251" s="32" t="s">
        <v>58</v>
      </c>
      <c r="AR251" s="23"/>
      <c r="AS251" s="23" t="str">
        <f t="shared" ref="AS251:AS256" si="41">IF(AND(AN251="Yes", AO251="Yes", AP251="Yes"), "Yes", IF(AND(AN251="", AO251="", AP251=""), "No", "Incomplete"))</f>
        <v>Yes</v>
      </c>
      <c r="AT251" s="29" t="str">
        <f t="shared" si="39"/>
        <v>Yes</v>
      </c>
      <c r="AU251" s="30"/>
      <c r="AV251" s="31"/>
      <c r="AW251" s="31" t="s">
        <v>59</v>
      </c>
      <c r="AX251" s="2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</row>
    <row r="252" spans="1:74" x14ac:dyDescent="0.25">
      <c r="A252" s="25">
        <v>234</v>
      </c>
      <c r="B252" s="23" t="s">
        <v>766</v>
      </c>
      <c r="C252" s="23" t="s">
        <v>764</v>
      </c>
      <c r="D252" s="26" t="s">
        <v>66</v>
      </c>
      <c r="E252" s="23">
        <v>17</v>
      </c>
      <c r="F252" s="23" t="s">
        <v>586</v>
      </c>
      <c r="G252" s="23">
        <f>VLOOKUP(C252,[2]Sheet2!$T$3:$V$92,3,FALSE)</f>
        <v>50</v>
      </c>
      <c r="H252" s="23" t="s">
        <v>54</v>
      </c>
      <c r="I252" s="23" t="s">
        <v>436</v>
      </c>
      <c r="J252" s="23"/>
      <c r="L252" s="23"/>
      <c r="M252" s="23"/>
      <c r="N252" s="23"/>
      <c r="O252" s="23" t="str">
        <f>IF(ISNUMBER(SEARCH("to", N252)),
_xlfn.LET(
    _xlpm.first_line, LEFT(N252, IFERROR(SEARCH(CHAR(10), N252)-1, LEN(N252))),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252" s="23"/>
      <c r="Q252" s="23"/>
      <c r="R252" s="27"/>
      <c r="S252" s="27"/>
      <c r="T252" s="23"/>
      <c r="U252" s="28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 t="s">
        <v>66</v>
      </c>
      <c r="AN252" s="23"/>
      <c r="AO252" s="23"/>
      <c r="AP252" s="23"/>
      <c r="AQ252" s="23"/>
      <c r="AR252" s="23"/>
      <c r="AS252" s="23" t="str">
        <f t="shared" si="41"/>
        <v>No</v>
      </c>
      <c r="AT252" s="29" t="str">
        <f t="shared" si="39"/>
        <v>Vacant</v>
      </c>
      <c r="AU252" s="30"/>
      <c r="AV252" s="31"/>
      <c r="AW252" s="31"/>
      <c r="AX252" s="2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</row>
    <row r="253" spans="1:74" ht="28.5" x14ac:dyDescent="0.25">
      <c r="A253" s="25">
        <v>249</v>
      </c>
      <c r="B253" s="23" t="s">
        <v>767</v>
      </c>
      <c r="C253" s="23" t="s">
        <v>764</v>
      </c>
      <c r="D253" s="26" t="s">
        <v>768</v>
      </c>
      <c r="E253" s="23">
        <v>16</v>
      </c>
      <c r="F253" s="23" t="s">
        <v>67</v>
      </c>
      <c r="G253" s="23">
        <f>VLOOKUP(C253,[2]Sheet2!$T$3:$V$92,3,FALSE)</f>
        <v>50</v>
      </c>
      <c r="H253" s="23" t="s">
        <v>68</v>
      </c>
      <c r="I253" s="23" t="s">
        <v>436</v>
      </c>
      <c r="J253" s="23">
        <v>1</v>
      </c>
      <c r="K253" s="6">
        <v>0.78</v>
      </c>
      <c r="L253" s="23" t="s">
        <v>574</v>
      </c>
      <c r="M253" s="23"/>
      <c r="N253" s="23" t="s">
        <v>95</v>
      </c>
      <c r="O253" s="23" t="str">
        <f t="shared" ref="O253:O264" si="42">IF(DATEVALUE(MID(N253,15,10))-DATEVALUE(LEFT(N253,10))+1&gt;=365,"1 Year",
DATEDIF(DATEVALUE(LEFT(N253,10)),DATEVALUE(MID(N253,15,10)),"Y")&amp;" Years, "&amp;DATEDIF(DATEVALUE(LEFT(N253,10)),DATEVALUE(MID(N253,15,10)),"YM")&amp;" Months, "&amp;DATEDIF(DATEVALUE(LEFT(N253,10)),DATEVALUE(MID(N253,15,10)),"MD")&amp;" Days")</f>
        <v>1 Year</v>
      </c>
      <c r="P253" s="23" t="s">
        <v>96</v>
      </c>
      <c r="Q253" s="23" t="s">
        <v>646</v>
      </c>
      <c r="R253" s="27"/>
      <c r="S253" s="27"/>
      <c r="T253" s="23">
        <v>50176581</v>
      </c>
      <c r="U253" s="28">
        <v>4420319524946</v>
      </c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 t="s">
        <v>42</v>
      </c>
      <c r="AN253" s="23" t="s">
        <v>58</v>
      </c>
      <c r="AO253" s="23" t="s">
        <v>58</v>
      </c>
      <c r="AP253" s="23" t="s">
        <v>58</v>
      </c>
      <c r="AQ253" s="23" t="s">
        <v>58</v>
      </c>
      <c r="AR253" s="23" t="s">
        <v>769</v>
      </c>
      <c r="AS253" s="23" t="str">
        <f t="shared" si="41"/>
        <v>Yes</v>
      </c>
      <c r="AT253" s="29" t="str">
        <f t="shared" si="39"/>
        <v>Yes</v>
      </c>
      <c r="AU253" s="30"/>
      <c r="AV253" s="31"/>
      <c r="AW253" s="31" t="s">
        <v>59</v>
      </c>
      <c r="AX253" s="2" t="s">
        <v>64</v>
      </c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</row>
    <row r="254" spans="1:74" ht="57" x14ac:dyDescent="0.25">
      <c r="A254" s="25">
        <v>250</v>
      </c>
      <c r="B254" s="23" t="s">
        <v>770</v>
      </c>
      <c r="C254" s="23" t="s">
        <v>764</v>
      </c>
      <c r="D254" s="26" t="s">
        <v>771</v>
      </c>
      <c r="E254" s="23">
        <v>15</v>
      </c>
      <c r="F254" s="23" t="s">
        <v>108</v>
      </c>
      <c r="G254" s="23">
        <f>VLOOKUP(C254,[2]Sheet2!$T$3:$V$92,3,FALSE)</f>
        <v>50</v>
      </c>
      <c r="H254" s="23" t="s">
        <v>68</v>
      </c>
      <c r="I254" s="23" t="s">
        <v>436</v>
      </c>
      <c r="J254" s="23">
        <v>1</v>
      </c>
      <c r="K254" s="6">
        <v>0.85</v>
      </c>
      <c r="L254" s="23" t="s">
        <v>743</v>
      </c>
      <c r="M254" s="23"/>
      <c r="N254" s="23" t="s">
        <v>772</v>
      </c>
      <c r="O254" s="23" t="str">
        <f t="shared" si="42"/>
        <v>0 Years, 10 Months, 6 Days</v>
      </c>
      <c r="P254" s="23" t="s">
        <v>773</v>
      </c>
      <c r="Q254" s="23" t="s">
        <v>646</v>
      </c>
      <c r="R254" s="27"/>
      <c r="S254" s="27"/>
      <c r="T254" s="23">
        <v>50197297</v>
      </c>
      <c r="U254" s="28">
        <v>4130570215677</v>
      </c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 t="s">
        <v>41</v>
      </c>
      <c r="AN254" s="32" t="s">
        <v>58</v>
      </c>
      <c r="AO254" s="39" t="s">
        <v>58</v>
      </c>
      <c r="AP254" s="32" t="s">
        <v>58</v>
      </c>
      <c r="AQ254" s="23"/>
      <c r="AR254" s="23"/>
      <c r="AS254" s="23" t="str">
        <f t="shared" si="41"/>
        <v>Yes</v>
      </c>
      <c r="AT254" s="29" t="str">
        <f t="shared" si="39"/>
        <v>Yes</v>
      </c>
      <c r="AU254" s="30"/>
      <c r="AV254" s="31"/>
      <c r="AW254" s="31" t="s">
        <v>59</v>
      </c>
      <c r="AX254" s="2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</row>
    <row r="255" spans="1:74" ht="57" x14ac:dyDescent="0.25">
      <c r="A255" s="25">
        <v>251</v>
      </c>
      <c r="B255" s="23" t="s">
        <v>774</v>
      </c>
      <c r="C255" s="23" t="s">
        <v>764</v>
      </c>
      <c r="D255" s="26" t="s">
        <v>775</v>
      </c>
      <c r="E255" s="23">
        <v>14</v>
      </c>
      <c r="F255" s="23" t="s">
        <v>108</v>
      </c>
      <c r="G255" s="23">
        <f>VLOOKUP(C255,[2]Sheet2!$T$3:$V$92,3,FALSE)</f>
        <v>50</v>
      </c>
      <c r="H255" s="23" t="s">
        <v>68</v>
      </c>
      <c r="I255" s="23" t="s">
        <v>436</v>
      </c>
      <c r="J255" s="23">
        <v>1</v>
      </c>
      <c r="K255" s="6">
        <v>0.85</v>
      </c>
      <c r="L255" s="23" t="s">
        <v>743</v>
      </c>
      <c r="M255" s="23"/>
      <c r="N255" s="23" t="s">
        <v>776</v>
      </c>
      <c r="O255" s="23" t="str">
        <f t="shared" si="42"/>
        <v>0 Years, 5 Months, 12 Days</v>
      </c>
      <c r="P255" s="23" t="s">
        <v>777</v>
      </c>
      <c r="Q255" s="23" t="s">
        <v>646</v>
      </c>
      <c r="R255" s="27"/>
      <c r="S255" s="27"/>
      <c r="T255" s="23">
        <v>50745709</v>
      </c>
      <c r="U255" s="28">
        <v>4530273827133</v>
      </c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 t="s">
        <v>41</v>
      </c>
      <c r="AN255" s="32" t="s">
        <v>58</v>
      </c>
      <c r="AO255" s="32" t="s">
        <v>58</v>
      </c>
      <c r="AP255" s="32" t="s">
        <v>58</v>
      </c>
      <c r="AQ255" s="23"/>
      <c r="AR255" s="23" t="s">
        <v>612</v>
      </c>
      <c r="AS255" s="23" t="str">
        <f t="shared" si="41"/>
        <v>Yes</v>
      </c>
      <c r="AT255" s="29" t="str">
        <f t="shared" si="39"/>
        <v>Yes</v>
      </c>
      <c r="AU255" s="30"/>
      <c r="AV255" s="31"/>
      <c r="AW255" s="31" t="s">
        <v>59</v>
      </c>
      <c r="AX255" s="2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</row>
    <row r="256" spans="1:74" x14ac:dyDescent="0.25">
      <c r="A256" s="25">
        <v>252</v>
      </c>
      <c r="B256" s="23" t="s">
        <v>778</v>
      </c>
      <c r="C256" s="23" t="s">
        <v>764</v>
      </c>
      <c r="D256" s="41" t="s">
        <v>779</v>
      </c>
      <c r="E256" s="23">
        <v>14</v>
      </c>
      <c r="F256" s="23" t="s">
        <v>108</v>
      </c>
      <c r="G256" s="23">
        <f>VLOOKUP(C256,[2]Sheet2!$T$3:$V$92,3,FALSE)</f>
        <v>50</v>
      </c>
      <c r="H256" s="23" t="s">
        <v>68</v>
      </c>
      <c r="I256" s="23" t="s">
        <v>436</v>
      </c>
      <c r="J256" s="23"/>
      <c r="K256" s="6">
        <v>0</v>
      </c>
      <c r="L256" s="23"/>
      <c r="M256" s="23" t="s">
        <v>780</v>
      </c>
      <c r="N256" s="23"/>
      <c r="O256" s="23" t="e">
        <f t="shared" si="42"/>
        <v>#VALUE!</v>
      </c>
      <c r="P256" s="23"/>
      <c r="Q256" s="23"/>
      <c r="R256" s="27">
        <v>45953</v>
      </c>
      <c r="S256" s="27">
        <v>45953</v>
      </c>
      <c r="T256" s="23"/>
      <c r="U256" s="28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 t="s">
        <v>41</v>
      </c>
      <c r="AN256" s="23"/>
      <c r="AO256" s="23"/>
      <c r="AP256" s="32" t="s">
        <v>58</v>
      </c>
      <c r="AQ256" s="23"/>
      <c r="AR256" s="23"/>
      <c r="AS256" s="23" t="str">
        <f t="shared" si="41"/>
        <v>Incomplete</v>
      </c>
      <c r="AT256" s="29" t="str">
        <f t="shared" si="39"/>
        <v>Yes</v>
      </c>
      <c r="AU256" s="30"/>
      <c r="AV256" s="31"/>
      <c r="AW256" s="31"/>
      <c r="AX256" s="2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</row>
    <row r="257" spans="1:74" x14ac:dyDescent="0.25">
      <c r="A257" s="25">
        <v>253</v>
      </c>
      <c r="B257" s="23" t="s">
        <v>781</v>
      </c>
      <c r="C257" s="23" t="s">
        <v>764</v>
      </c>
      <c r="D257" s="41" t="s">
        <v>782</v>
      </c>
      <c r="E257" s="23">
        <v>13</v>
      </c>
      <c r="F257" s="23" t="s">
        <v>131</v>
      </c>
      <c r="G257" s="23">
        <f>VLOOKUP(C257,[2]Sheet2!$T$3:$V$92,3,FALSE)</f>
        <v>50</v>
      </c>
      <c r="H257" s="23" t="s">
        <v>68</v>
      </c>
      <c r="I257" s="23" t="s">
        <v>436</v>
      </c>
      <c r="J257" s="23"/>
      <c r="K257" s="6">
        <v>0</v>
      </c>
      <c r="L257" s="23"/>
      <c r="M257" s="23"/>
      <c r="N257" s="23"/>
      <c r="O257" s="23" t="e">
        <f t="shared" si="42"/>
        <v>#VALUE!</v>
      </c>
      <c r="P257" s="23"/>
      <c r="Q257" s="23"/>
      <c r="R257" s="27"/>
      <c r="S257" s="27"/>
      <c r="T257" s="23"/>
      <c r="U257" s="28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 t="s">
        <v>40</v>
      </c>
      <c r="AN257" s="23"/>
      <c r="AO257" s="23"/>
      <c r="AP257" s="23"/>
      <c r="AQ257" s="23"/>
      <c r="AR257" s="23"/>
      <c r="AS257" s="23" t="str">
        <f t="shared" ref="AS257:AS264" si="43">IF(AND(AN257="Yes"), "Yes", IF(AND(AN257=""), "No", "Incomplete"))</f>
        <v>No</v>
      </c>
      <c r="AT257" s="29" t="str">
        <f t="shared" si="39"/>
        <v>No</v>
      </c>
      <c r="AU257" s="30"/>
      <c r="AV257" s="31"/>
      <c r="AW257" s="31"/>
      <c r="AX257" s="2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</row>
    <row r="258" spans="1:74" x14ac:dyDescent="0.25">
      <c r="A258" s="25">
        <v>254</v>
      </c>
      <c r="B258" s="23" t="s">
        <v>783</v>
      </c>
      <c r="C258" s="23" t="s">
        <v>764</v>
      </c>
      <c r="D258" s="41" t="s">
        <v>784</v>
      </c>
      <c r="E258" s="23">
        <v>11</v>
      </c>
      <c r="F258" s="23" t="s">
        <v>138</v>
      </c>
      <c r="G258" s="23">
        <f>VLOOKUP(C258,[2]Sheet2!$T$3:$V$92,3,FALSE)</f>
        <v>50</v>
      </c>
      <c r="H258" s="23" t="s">
        <v>68</v>
      </c>
      <c r="I258" s="23" t="s">
        <v>436</v>
      </c>
      <c r="J258" s="23"/>
      <c r="K258" s="6">
        <v>0</v>
      </c>
      <c r="L258" s="23"/>
      <c r="M258" s="23" t="s">
        <v>780</v>
      </c>
      <c r="N258" s="23"/>
      <c r="O258" s="23" t="e">
        <f t="shared" si="42"/>
        <v>#VALUE!</v>
      </c>
      <c r="P258" s="23"/>
      <c r="Q258" s="23"/>
      <c r="R258" s="27">
        <v>45950</v>
      </c>
      <c r="S258" s="27">
        <v>45950</v>
      </c>
      <c r="T258" s="23"/>
      <c r="U258" s="28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 t="s">
        <v>40</v>
      </c>
      <c r="AN258" s="23" t="s">
        <v>58</v>
      </c>
      <c r="AO258" s="61" t="s">
        <v>58</v>
      </c>
      <c r="AP258" s="23"/>
      <c r="AQ258" s="23"/>
      <c r="AR258" s="23"/>
      <c r="AS258" s="23" t="str">
        <f t="shared" si="43"/>
        <v>Yes</v>
      </c>
      <c r="AT258" s="29" t="str">
        <f t="shared" si="39"/>
        <v>Yes</v>
      </c>
      <c r="AU258" s="30"/>
      <c r="AV258" s="31"/>
      <c r="AW258" s="31"/>
      <c r="AX258" s="2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</row>
    <row r="259" spans="1:74" x14ac:dyDescent="0.25">
      <c r="A259" s="25">
        <v>341</v>
      </c>
      <c r="B259" s="23" t="s">
        <v>785</v>
      </c>
      <c r="C259" s="23" t="s">
        <v>764</v>
      </c>
      <c r="D259" s="26" t="s">
        <v>786</v>
      </c>
      <c r="E259" s="23">
        <v>11</v>
      </c>
      <c r="F259" s="23" t="s">
        <v>138</v>
      </c>
      <c r="G259" s="23">
        <f>VLOOKUP(C259,[2]Sheet2!$T$3:$V$92,3,FALSE)</f>
        <v>50</v>
      </c>
      <c r="H259" s="23" t="s">
        <v>68</v>
      </c>
      <c r="I259" s="23" t="s">
        <v>436</v>
      </c>
      <c r="J259" s="23">
        <v>1</v>
      </c>
      <c r="K259" s="6">
        <v>0.8</v>
      </c>
      <c r="L259" s="23" t="s">
        <v>743</v>
      </c>
      <c r="M259" s="23"/>
      <c r="N259" s="23"/>
      <c r="O259" s="23" t="e">
        <f t="shared" si="42"/>
        <v>#VALUE!</v>
      </c>
      <c r="P259" s="23"/>
      <c r="Q259" s="23"/>
      <c r="R259" s="27"/>
      <c r="S259" s="27"/>
      <c r="T259" s="23">
        <v>50704361</v>
      </c>
      <c r="U259" s="28">
        <v>4530331419047</v>
      </c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 t="s">
        <v>40</v>
      </c>
      <c r="AN259" s="23" t="s">
        <v>58</v>
      </c>
      <c r="AO259" s="23" t="s">
        <v>58</v>
      </c>
      <c r="AP259" s="23"/>
      <c r="AQ259" s="23"/>
      <c r="AR259" s="23"/>
      <c r="AS259" s="23" t="str">
        <f t="shared" si="43"/>
        <v>Yes</v>
      </c>
      <c r="AT259" s="29" t="str">
        <f t="shared" si="39"/>
        <v>Yes</v>
      </c>
      <c r="AU259" s="30"/>
      <c r="AV259" s="31" t="s">
        <v>64</v>
      </c>
      <c r="AW259" s="31" t="s">
        <v>59</v>
      </c>
      <c r="AX259" s="2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</row>
    <row r="260" spans="1:74" x14ac:dyDescent="0.25">
      <c r="A260" s="25">
        <v>256</v>
      </c>
      <c r="B260" s="23" t="s">
        <v>787</v>
      </c>
      <c r="C260" s="23" t="s">
        <v>764</v>
      </c>
      <c r="D260" s="26" t="s">
        <v>66</v>
      </c>
      <c r="E260" s="23">
        <v>7</v>
      </c>
      <c r="F260" s="23" t="s">
        <v>264</v>
      </c>
      <c r="G260" s="23">
        <f>VLOOKUP(C260,[2]Sheet2!$T$3:$V$92,3,FALSE)</f>
        <v>50</v>
      </c>
      <c r="H260" s="23" t="s">
        <v>68</v>
      </c>
      <c r="I260" s="23" t="s">
        <v>436</v>
      </c>
      <c r="J260" s="23">
        <v>1</v>
      </c>
      <c r="L260" s="23"/>
      <c r="M260" s="23"/>
      <c r="N260" s="23"/>
      <c r="O260" s="23" t="e">
        <f t="shared" si="42"/>
        <v>#VALUE!</v>
      </c>
      <c r="P260" s="23"/>
      <c r="Q260" s="23"/>
      <c r="R260" s="27"/>
      <c r="S260" s="27"/>
      <c r="T260" s="23"/>
      <c r="U260" s="28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 t="s">
        <v>73</v>
      </c>
      <c r="AN260" s="23"/>
      <c r="AO260" s="23"/>
      <c r="AP260" s="23"/>
      <c r="AQ260" s="23"/>
      <c r="AR260" s="23"/>
      <c r="AS260" s="23" t="str">
        <f t="shared" si="43"/>
        <v>No</v>
      </c>
      <c r="AT260" s="29" t="str">
        <f t="shared" si="39"/>
        <v>NA</v>
      </c>
      <c r="AU260" s="30"/>
      <c r="AV260" s="31"/>
      <c r="AW260" s="31"/>
      <c r="AX260" s="2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</row>
    <row r="261" spans="1:74" ht="28.5" x14ac:dyDescent="0.25">
      <c r="A261" s="25">
        <v>258</v>
      </c>
      <c r="B261" s="23" t="s">
        <v>788</v>
      </c>
      <c r="C261" s="23" t="s">
        <v>764</v>
      </c>
      <c r="D261" s="26" t="s">
        <v>789</v>
      </c>
      <c r="E261" s="23">
        <v>5</v>
      </c>
      <c r="F261" s="23" t="s">
        <v>71</v>
      </c>
      <c r="G261" s="23">
        <f>VLOOKUP(C261,[2]Sheet2!$T$3:$V$92,3,FALSE)</f>
        <v>50</v>
      </c>
      <c r="H261" s="23" t="s">
        <v>68</v>
      </c>
      <c r="I261" s="23" t="s">
        <v>436</v>
      </c>
      <c r="J261" s="23">
        <v>1</v>
      </c>
      <c r="K261" s="6">
        <v>0.67</v>
      </c>
      <c r="L261" s="23" t="s">
        <v>427</v>
      </c>
      <c r="M261" s="23"/>
      <c r="N261" s="23"/>
      <c r="O261" s="23" t="e">
        <f t="shared" si="42"/>
        <v>#VALUE!</v>
      </c>
      <c r="P261" s="23"/>
      <c r="Q261" s="23"/>
      <c r="R261" s="27"/>
      <c r="S261" s="27"/>
      <c r="T261" s="23">
        <v>10416839</v>
      </c>
      <c r="U261" s="28">
        <v>4420338032417</v>
      </c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 t="s">
        <v>41</v>
      </c>
      <c r="AN261" s="23" t="s">
        <v>58</v>
      </c>
      <c r="AO261" s="23" t="s">
        <v>790</v>
      </c>
      <c r="AP261" s="32" t="s">
        <v>58</v>
      </c>
      <c r="AQ261" s="23"/>
      <c r="AR261" s="23"/>
      <c r="AS261" s="23" t="str">
        <f t="shared" si="43"/>
        <v>Yes</v>
      </c>
      <c r="AT261" s="29" t="str">
        <f t="shared" si="39"/>
        <v>Yes</v>
      </c>
      <c r="AU261" s="30"/>
      <c r="AV261" s="31"/>
      <c r="AW261" s="31" t="s">
        <v>59</v>
      </c>
      <c r="AX261" s="2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</row>
    <row r="262" spans="1:74" x14ac:dyDescent="0.25">
      <c r="A262" s="25">
        <v>257</v>
      </c>
      <c r="B262" s="23" t="s">
        <v>791</v>
      </c>
      <c r="C262" s="23" t="s">
        <v>764</v>
      </c>
      <c r="D262" s="26" t="s">
        <v>792</v>
      </c>
      <c r="E262" s="23">
        <v>5</v>
      </c>
      <c r="F262" s="23" t="s">
        <v>161</v>
      </c>
      <c r="G262" s="23">
        <f>VLOOKUP(C262,[2]Sheet2!$T$3:$V$92,3,FALSE)</f>
        <v>50</v>
      </c>
      <c r="H262" s="23" t="s">
        <v>68</v>
      </c>
      <c r="I262" s="23" t="s">
        <v>436</v>
      </c>
      <c r="J262" s="23">
        <v>1</v>
      </c>
      <c r="K262" s="6">
        <v>0.7</v>
      </c>
      <c r="L262" s="23" t="s">
        <v>574</v>
      </c>
      <c r="M262" s="63" t="s">
        <v>728</v>
      </c>
      <c r="N262" s="63"/>
      <c r="O262" s="23" t="e">
        <f t="shared" si="42"/>
        <v>#VALUE!</v>
      </c>
      <c r="P262" s="63"/>
      <c r="Q262" s="63"/>
      <c r="R262" s="64">
        <v>35648</v>
      </c>
      <c r="S262" s="64">
        <v>44894</v>
      </c>
      <c r="T262" s="23">
        <v>10416844</v>
      </c>
      <c r="U262" s="28">
        <v>4420385643919</v>
      </c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 t="s">
        <v>73</v>
      </c>
      <c r="AN262" s="23"/>
      <c r="AO262" s="23"/>
      <c r="AP262" s="23"/>
      <c r="AQ262" s="23"/>
      <c r="AR262" s="23"/>
      <c r="AS262" s="23" t="str">
        <f t="shared" si="43"/>
        <v>No</v>
      </c>
      <c r="AT262" s="29" t="str">
        <f t="shared" si="39"/>
        <v>NA</v>
      </c>
      <c r="AU262" s="30"/>
      <c r="AV262" s="31"/>
      <c r="AW262" s="31" t="s">
        <v>59</v>
      </c>
      <c r="AX262" s="2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</row>
    <row r="263" spans="1:74" x14ac:dyDescent="0.25">
      <c r="A263" s="25">
        <v>259</v>
      </c>
      <c r="B263" s="23" t="s">
        <v>793</v>
      </c>
      <c r="C263" s="23" t="s">
        <v>764</v>
      </c>
      <c r="D263" s="26" t="s">
        <v>794</v>
      </c>
      <c r="E263" s="23">
        <v>4</v>
      </c>
      <c r="F263" s="23" t="s">
        <v>161</v>
      </c>
      <c r="G263" s="23">
        <f>VLOOKUP(C263,[2]Sheet2!$T$3:$V$92,3,FALSE)</f>
        <v>50</v>
      </c>
      <c r="H263" s="23" t="s">
        <v>68</v>
      </c>
      <c r="I263" s="23" t="s">
        <v>436</v>
      </c>
      <c r="J263" s="23">
        <v>1</v>
      </c>
      <c r="K263" s="6">
        <v>0.7</v>
      </c>
      <c r="L263" s="23" t="s">
        <v>574</v>
      </c>
      <c r="M263" s="43" t="s">
        <v>193</v>
      </c>
      <c r="N263" s="43"/>
      <c r="O263" s="23" t="e">
        <f t="shared" si="42"/>
        <v>#VALUE!</v>
      </c>
      <c r="P263" s="43"/>
      <c r="Q263" s="43"/>
      <c r="R263" s="44">
        <v>41456</v>
      </c>
      <c r="S263" s="44">
        <v>41456</v>
      </c>
      <c r="T263" s="23">
        <v>50187539</v>
      </c>
      <c r="U263" s="28">
        <v>4130792816473</v>
      </c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 t="s">
        <v>73</v>
      </c>
      <c r="AN263" s="23"/>
      <c r="AO263" s="23"/>
      <c r="AP263" s="23"/>
      <c r="AQ263" s="23"/>
      <c r="AR263" s="23"/>
      <c r="AS263" s="23" t="str">
        <f t="shared" si="43"/>
        <v>No</v>
      </c>
      <c r="AT263" s="29" t="str">
        <f t="shared" si="39"/>
        <v>NA</v>
      </c>
      <c r="AU263" s="30"/>
      <c r="AV263" s="31"/>
      <c r="AW263" s="31" t="s">
        <v>59</v>
      </c>
      <c r="AX263" s="2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</row>
    <row r="264" spans="1:74" x14ac:dyDescent="0.25">
      <c r="A264" s="25">
        <v>260</v>
      </c>
      <c r="B264" s="23" t="s">
        <v>795</v>
      </c>
      <c r="C264" s="23" t="s">
        <v>764</v>
      </c>
      <c r="D264" s="41" t="s">
        <v>796</v>
      </c>
      <c r="E264" s="23">
        <v>2</v>
      </c>
      <c r="F264" s="23" t="s">
        <v>71</v>
      </c>
      <c r="G264" s="23">
        <f>VLOOKUP(C264,[2]Sheet2!$T$3:$V$92,3,FALSE)</f>
        <v>50</v>
      </c>
      <c r="H264" s="23" t="s">
        <v>68</v>
      </c>
      <c r="I264" s="23" t="s">
        <v>436</v>
      </c>
      <c r="J264" s="23"/>
      <c r="K264" s="6">
        <v>0</v>
      </c>
      <c r="L264" s="23"/>
      <c r="M264" s="23"/>
      <c r="N264" s="23"/>
      <c r="O264" s="23" t="e">
        <f t="shared" si="42"/>
        <v>#VALUE!</v>
      </c>
      <c r="P264" s="23"/>
      <c r="Q264" s="23"/>
      <c r="R264" s="27"/>
      <c r="S264" s="27"/>
      <c r="T264" s="23"/>
      <c r="U264" s="28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 t="s">
        <v>39</v>
      </c>
      <c r="AN264" s="23"/>
      <c r="AO264" s="23"/>
      <c r="AP264" s="23"/>
      <c r="AQ264" s="23"/>
      <c r="AR264" s="23"/>
      <c r="AS264" s="23" t="str">
        <f t="shared" si="43"/>
        <v>No</v>
      </c>
      <c r="AT264" s="29" t="str">
        <f t="shared" si="39"/>
        <v>No</v>
      </c>
      <c r="AU264" s="30"/>
      <c r="AV264" s="31"/>
      <c r="AW264" s="31"/>
      <c r="AX264" s="2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</row>
    <row r="265" spans="1:74" x14ac:dyDescent="0.25">
      <c r="A265" s="25">
        <v>261</v>
      </c>
      <c r="B265" s="23" t="s">
        <v>797</v>
      </c>
      <c r="C265" s="23" t="s">
        <v>798</v>
      </c>
      <c r="D265" s="26" t="s">
        <v>799</v>
      </c>
      <c r="E265" s="23">
        <v>18</v>
      </c>
      <c r="F265" s="23" t="s">
        <v>440</v>
      </c>
      <c r="G265" s="23">
        <f>VLOOKUP(C265,[2]Sheet2!$T$3:$V$92,3,FALSE)</f>
        <v>51</v>
      </c>
      <c r="H265" s="23" t="s">
        <v>54</v>
      </c>
      <c r="I265" s="23" t="s">
        <v>436</v>
      </c>
      <c r="J265" s="23"/>
      <c r="L265" s="23"/>
      <c r="M265" s="23"/>
      <c r="N265" s="23" t="s">
        <v>56</v>
      </c>
      <c r="O265" s="23" t="e">
        <f ca="1">IF(ISNUMBER(SEARCH("to", N265)),
_xlfn.LET(
    _xlpm.text_n3, N265,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265" s="23"/>
      <c r="Q265" s="23" t="s">
        <v>57</v>
      </c>
      <c r="R265" s="27"/>
      <c r="S265" s="27"/>
      <c r="T265" s="23">
        <v>10246758</v>
      </c>
      <c r="U265" s="28">
        <v>4130327276665</v>
      </c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 t="s">
        <v>41</v>
      </c>
      <c r="AN265" s="23" t="s">
        <v>58</v>
      </c>
      <c r="AO265" s="23" t="s">
        <v>58</v>
      </c>
      <c r="AP265" s="23" t="s">
        <v>58</v>
      </c>
      <c r="AQ265" s="23"/>
      <c r="AR265" s="23"/>
      <c r="AS265" s="23" t="str">
        <f t="shared" ref="AS265:AS270" si="44">IF(AND(AN265="Yes", AO265="Yes", AP265="Yes"), "Yes", IF(AND(AN265="", AO265="", AP265=""), "No", "Incomplete"))</f>
        <v>Yes</v>
      </c>
      <c r="AT265" s="29" t="str">
        <f t="shared" si="39"/>
        <v>Yes</v>
      </c>
      <c r="AU265" s="30"/>
      <c r="AV265" s="31"/>
      <c r="AW265" s="31" t="s">
        <v>59</v>
      </c>
      <c r="AX265" s="2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</row>
    <row r="266" spans="1:74" ht="42.75" x14ac:dyDescent="0.25">
      <c r="A266" s="25">
        <v>262</v>
      </c>
      <c r="B266" s="23" t="s">
        <v>800</v>
      </c>
      <c r="C266" s="23" t="s">
        <v>798</v>
      </c>
      <c r="D266" s="26" t="s">
        <v>758</v>
      </c>
      <c r="E266" s="23">
        <v>17</v>
      </c>
      <c r="F266" s="23" t="s">
        <v>586</v>
      </c>
      <c r="G266" s="23">
        <f>VLOOKUP(C266,[2]Sheet2!$T$3:$V$92,3,FALSE)</f>
        <v>51</v>
      </c>
      <c r="H266" s="23" t="s">
        <v>54</v>
      </c>
      <c r="I266" s="23" t="s">
        <v>436</v>
      </c>
      <c r="J266" s="23"/>
      <c r="L266" s="23"/>
      <c r="M266" s="23"/>
      <c r="N266" s="23" t="s">
        <v>801</v>
      </c>
      <c r="O266" s="23" t="e">
        <f ca="1">IF(ISNUMBER(SEARCH("to", N266)),
_xlfn.LET(
    _xlpm.text_n3, N266,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266" s="23"/>
      <c r="Q266" s="23" t="s">
        <v>57</v>
      </c>
      <c r="R266" s="27"/>
      <c r="S266" s="27"/>
      <c r="T266" s="23">
        <v>50618779</v>
      </c>
      <c r="U266" s="28">
        <v>4330233704733</v>
      </c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 t="s">
        <v>42</v>
      </c>
      <c r="AN266" s="32" t="s">
        <v>58</v>
      </c>
      <c r="AO266" s="23" t="s">
        <v>58</v>
      </c>
      <c r="AP266" s="23" t="s">
        <v>58</v>
      </c>
      <c r="AQ266" s="23" t="s">
        <v>58</v>
      </c>
      <c r="AR266" s="23"/>
      <c r="AS266" s="23" t="str">
        <f t="shared" si="44"/>
        <v>Yes</v>
      </c>
      <c r="AT266" s="29" t="str">
        <f t="shared" si="39"/>
        <v>Yes</v>
      </c>
      <c r="AU266" s="30"/>
      <c r="AV266" s="31"/>
      <c r="AW266" s="31" t="s">
        <v>59</v>
      </c>
      <c r="AX266" s="2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</row>
    <row r="267" spans="1:74" ht="28.5" x14ac:dyDescent="0.25">
      <c r="A267" s="25">
        <v>263</v>
      </c>
      <c r="B267" s="23" t="s">
        <v>802</v>
      </c>
      <c r="C267" s="23" t="s">
        <v>798</v>
      </c>
      <c r="D267" s="26" t="s">
        <v>803</v>
      </c>
      <c r="E267" s="23">
        <v>16</v>
      </c>
      <c r="F267" s="23" t="s">
        <v>67</v>
      </c>
      <c r="G267" s="23">
        <f>VLOOKUP(C267,[2]Sheet2!$T$3:$V$92,3,FALSE)</f>
        <v>51</v>
      </c>
      <c r="H267" s="23" t="s">
        <v>68</v>
      </c>
      <c r="I267" s="23" t="s">
        <v>436</v>
      </c>
      <c r="J267" s="23">
        <v>1</v>
      </c>
      <c r="K267" s="6">
        <v>0.77</v>
      </c>
      <c r="L267" s="23" t="s">
        <v>574</v>
      </c>
      <c r="M267" s="23"/>
      <c r="N267" s="23" t="s">
        <v>95</v>
      </c>
      <c r="O267" s="23" t="str">
        <f t="shared" ref="O267:O278" si="45">IF(DATEVALUE(MID(N267,15,10))-DATEVALUE(LEFT(N267,10))+1&gt;=365,"1 Year",
DATEDIF(DATEVALUE(LEFT(N267,10)),DATEVALUE(MID(N267,15,10)),"Y")&amp;" Years, "&amp;DATEDIF(DATEVALUE(LEFT(N267,10)),DATEVALUE(MID(N267,15,10)),"YM")&amp;" Months, "&amp;DATEDIF(DATEVALUE(LEFT(N267,10)),DATEVALUE(MID(N267,15,10)),"MD")&amp;" Days")</f>
        <v>1 Year</v>
      </c>
      <c r="P267" s="23" t="s">
        <v>238</v>
      </c>
      <c r="Q267" s="23" t="s">
        <v>646</v>
      </c>
      <c r="R267" s="27"/>
      <c r="S267" s="27"/>
      <c r="T267" s="23">
        <v>10512398</v>
      </c>
      <c r="U267" s="28">
        <v>4220192297675</v>
      </c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 t="s">
        <v>42</v>
      </c>
      <c r="AN267" s="23" t="s">
        <v>58</v>
      </c>
      <c r="AO267" s="23" t="s">
        <v>58</v>
      </c>
      <c r="AP267" s="23"/>
      <c r="AQ267" s="32" t="s">
        <v>58</v>
      </c>
      <c r="AR267" s="23"/>
      <c r="AS267" s="23" t="str">
        <f t="shared" si="44"/>
        <v>Incomplete</v>
      </c>
      <c r="AT267" s="29" t="str">
        <f t="shared" si="39"/>
        <v>Yes</v>
      </c>
      <c r="AU267" s="30"/>
      <c r="AV267" s="31" t="s">
        <v>64</v>
      </c>
      <c r="AW267" s="31" t="s">
        <v>59</v>
      </c>
      <c r="AX267" s="2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</row>
    <row r="268" spans="1:74" ht="28.5" x14ac:dyDescent="0.25">
      <c r="A268" s="25">
        <v>264</v>
      </c>
      <c r="B268" s="23" t="s">
        <v>804</v>
      </c>
      <c r="C268" s="23" t="s">
        <v>798</v>
      </c>
      <c r="D268" s="26" t="s">
        <v>805</v>
      </c>
      <c r="E268" s="23">
        <v>15</v>
      </c>
      <c r="F268" s="23" t="s">
        <v>108</v>
      </c>
      <c r="G268" s="23">
        <f>VLOOKUP(C268,[2]Sheet2!$T$3:$V$92,3,FALSE)</f>
        <v>51</v>
      </c>
      <c r="H268" s="23" t="s">
        <v>68</v>
      </c>
      <c r="I268" s="23" t="s">
        <v>436</v>
      </c>
      <c r="J268" s="23">
        <v>1</v>
      </c>
      <c r="K268" s="6">
        <v>0.85</v>
      </c>
      <c r="L268" s="23" t="s">
        <v>743</v>
      </c>
      <c r="M268" s="23"/>
      <c r="N268" s="23" t="s">
        <v>95</v>
      </c>
      <c r="O268" s="23" t="str">
        <f t="shared" si="45"/>
        <v>1 Year</v>
      </c>
      <c r="P268" s="23" t="s">
        <v>96</v>
      </c>
      <c r="Q268" s="23" t="s">
        <v>646</v>
      </c>
      <c r="R268" s="27"/>
      <c r="S268" s="27"/>
      <c r="T268" s="23">
        <v>50177874</v>
      </c>
      <c r="U268" s="28">
        <v>4530177187957</v>
      </c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 t="s">
        <v>42</v>
      </c>
      <c r="AN268" s="32" t="s">
        <v>58</v>
      </c>
      <c r="AO268" s="32" t="s">
        <v>58</v>
      </c>
      <c r="AP268" s="32" t="s">
        <v>58</v>
      </c>
      <c r="AQ268" s="32" t="s">
        <v>58</v>
      </c>
      <c r="AR268" s="23"/>
      <c r="AS268" s="23" t="str">
        <f t="shared" si="44"/>
        <v>Yes</v>
      </c>
      <c r="AT268" s="29" t="str">
        <f t="shared" si="39"/>
        <v>Yes</v>
      </c>
      <c r="AU268" s="30"/>
      <c r="AV268" s="31"/>
      <c r="AW268" s="31" t="s">
        <v>59</v>
      </c>
      <c r="AX268" s="2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</row>
    <row r="269" spans="1:74" ht="28.5" x14ac:dyDescent="0.25">
      <c r="A269" s="25">
        <v>265</v>
      </c>
      <c r="B269" s="23" t="s">
        <v>806</v>
      </c>
      <c r="C269" s="23" t="s">
        <v>798</v>
      </c>
      <c r="D269" s="26" t="s">
        <v>807</v>
      </c>
      <c r="E269" s="23">
        <v>15</v>
      </c>
      <c r="F269" s="23" t="s">
        <v>108</v>
      </c>
      <c r="G269" s="23">
        <f>VLOOKUP(C269,[2]Sheet2!$T$3:$V$92,3,FALSE)</f>
        <v>51</v>
      </c>
      <c r="H269" s="23" t="s">
        <v>68</v>
      </c>
      <c r="I269" s="23" t="s">
        <v>436</v>
      </c>
      <c r="J269" s="23">
        <v>1</v>
      </c>
      <c r="K269" s="6">
        <v>0.72</v>
      </c>
      <c r="L269" s="23" t="s">
        <v>574</v>
      </c>
      <c r="M269" s="23"/>
      <c r="N269" s="23" t="s">
        <v>95</v>
      </c>
      <c r="O269" s="23" t="str">
        <f t="shared" si="45"/>
        <v>1 Year</v>
      </c>
      <c r="P269" s="23" t="s">
        <v>96</v>
      </c>
      <c r="Q269" s="23" t="s">
        <v>646</v>
      </c>
      <c r="R269" s="27"/>
      <c r="S269" s="27"/>
      <c r="T269" s="23">
        <v>50197680</v>
      </c>
      <c r="U269" s="28">
        <v>4530223921653</v>
      </c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 t="s">
        <v>41</v>
      </c>
      <c r="AN269" s="23" t="s">
        <v>58</v>
      </c>
      <c r="AO269" s="23" t="s">
        <v>58</v>
      </c>
      <c r="AP269" s="23" t="s">
        <v>58</v>
      </c>
      <c r="AQ269" s="23"/>
      <c r="AR269" s="23"/>
      <c r="AS269" s="23" t="str">
        <f t="shared" si="44"/>
        <v>Yes</v>
      </c>
      <c r="AT269" s="29" t="str">
        <f t="shared" si="39"/>
        <v>Yes</v>
      </c>
      <c r="AU269" s="30"/>
      <c r="AV269" s="31"/>
      <c r="AW269" s="31" t="s">
        <v>59</v>
      </c>
      <c r="AX269" s="2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</row>
    <row r="270" spans="1:74" ht="28.5" x14ac:dyDescent="0.25">
      <c r="A270" s="25">
        <v>266</v>
      </c>
      <c r="B270" s="23" t="s">
        <v>808</v>
      </c>
      <c r="C270" s="23" t="s">
        <v>798</v>
      </c>
      <c r="D270" s="26" t="s">
        <v>809</v>
      </c>
      <c r="E270" s="23">
        <v>14</v>
      </c>
      <c r="F270" s="23" t="s">
        <v>108</v>
      </c>
      <c r="G270" s="23">
        <f>VLOOKUP(C270,[2]Sheet2!$T$3:$V$92,3,FALSE)</f>
        <v>51</v>
      </c>
      <c r="H270" s="23" t="s">
        <v>68</v>
      </c>
      <c r="I270" s="23" t="s">
        <v>436</v>
      </c>
      <c r="J270" s="23">
        <v>1</v>
      </c>
      <c r="K270" s="6">
        <v>0.68</v>
      </c>
      <c r="L270" s="23" t="s">
        <v>427</v>
      </c>
      <c r="M270" s="23"/>
      <c r="N270" s="23" t="s">
        <v>95</v>
      </c>
      <c r="O270" s="23" t="str">
        <f t="shared" si="45"/>
        <v>1 Year</v>
      </c>
      <c r="P270" s="23" t="s">
        <v>810</v>
      </c>
      <c r="Q270" s="23" t="s">
        <v>646</v>
      </c>
      <c r="R270" s="27"/>
      <c r="S270" s="27"/>
      <c r="T270" s="23">
        <v>50753223</v>
      </c>
      <c r="U270" s="28">
        <v>4550489096979</v>
      </c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 t="s">
        <v>42</v>
      </c>
      <c r="AN270" s="23" t="s">
        <v>58</v>
      </c>
      <c r="AO270" s="23" t="s">
        <v>58</v>
      </c>
      <c r="AP270" s="32" t="s">
        <v>58</v>
      </c>
      <c r="AQ270" s="32" t="s">
        <v>58</v>
      </c>
      <c r="AR270" s="23"/>
      <c r="AS270" s="23" t="str">
        <f t="shared" si="44"/>
        <v>Yes</v>
      </c>
      <c r="AT270" s="29" t="str">
        <f t="shared" si="39"/>
        <v>Yes</v>
      </c>
      <c r="AU270" s="30"/>
      <c r="AV270" s="31"/>
      <c r="AW270" s="31" t="s">
        <v>59</v>
      </c>
      <c r="AX270" s="2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</row>
    <row r="271" spans="1:74" ht="28.5" x14ac:dyDescent="0.25">
      <c r="A271" s="25">
        <v>267</v>
      </c>
      <c r="B271" s="23" t="s">
        <v>811</v>
      </c>
      <c r="C271" s="23" t="s">
        <v>798</v>
      </c>
      <c r="D271" s="26" t="s">
        <v>652</v>
      </c>
      <c r="E271" s="23">
        <v>13</v>
      </c>
      <c r="F271" s="23" t="s">
        <v>131</v>
      </c>
      <c r="G271" s="23">
        <f>VLOOKUP(C271,[2]Sheet2!$T$3:$V$92,3,FALSE)</f>
        <v>51</v>
      </c>
      <c r="H271" s="23" t="s">
        <v>68</v>
      </c>
      <c r="I271" s="23" t="s">
        <v>436</v>
      </c>
      <c r="J271" s="23">
        <v>1</v>
      </c>
      <c r="K271" s="6">
        <v>0.67</v>
      </c>
      <c r="L271" s="23" t="s">
        <v>427</v>
      </c>
      <c r="M271" s="23"/>
      <c r="N271" s="23" t="s">
        <v>95</v>
      </c>
      <c r="O271" s="23" t="str">
        <f t="shared" si="45"/>
        <v>1 Year</v>
      </c>
      <c r="P271" s="23" t="s">
        <v>238</v>
      </c>
      <c r="Q271" s="23" t="s">
        <v>812</v>
      </c>
      <c r="R271" s="27"/>
      <c r="S271" s="27"/>
      <c r="T271" s="23">
        <v>10474036</v>
      </c>
      <c r="U271" s="28">
        <v>4520308454903</v>
      </c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 t="s">
        <v>40</v>
      </c>
      <c r="AN271" s="23" t="s">
        <v>58</v>
      </c>
      <c r="AO271" s="23" t="s">
        <v>58</v>
      </c>
      <c r="AP271" s="23"/>
      <c r="AQ271" s="23"/>
      <c r="AR271" s="23"/>
      <c r="AS271" s="23" t="str">
        <f>IF(AND(AN271="Yes", AO271="Yes"), "Yes", IF(AND(AN271="", AO271=""), "No", "Incomplete"))</f>
        <v>Yes</v>
      </c>
      <c r="AT271" s="29" t="str">
        <f t="shared" si="39"/>
        <v>Yes</v>
      </c>
      <c r="AU271" s="30"/>
      <c r="AV271" s="31"/>
      <c r="AW271" s="31" t="s">
        <v>59</v>
      </c>
      <c r="AX271" s="2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</row>
    <row r="272" spans="1:74" ht="28.5" x14ac:dyDescent="0.25">
      <c r="A272" s="25">
        <v>269</v>
      </c>
      <c r="B272" s="23" t="s">
        <v>813</v>
      </c>
      <c r="C272" s="23" t="s">
        <v>798</v>
      </c>
      <c r="D272" s="26" t="s">
        <v>616</v>
      </c>
      <c r="E272" s="23">
        <v>11</v>
      </c>
      <c r="F272" s="23" t="s">
        <v>138</v>
      </c>
      <c r="G272" s="23">
        <f>VLOOKUP(C272,[2]Sheet2!$T$3:$V$92,3,FALSE)</f>
        <v>51</v>
      </c>
      <c r="H272" s="23" t="s">
        <v>68</v>
      </c>
      <c r="I272" s="23" t="s">
        <v>436</v>
      </c>
      <c r="J272" s="23">
        <v>1</v>
      </c>
      <c r="K272" s="6">
        <v>0.85</v>
      </c>
      <c r="L272" s="23" t="s">
        <v>743</v>
      </c>
      <c r="M272" s="23"/>
      <c r="N272" s="23" t="s">
        <v>95</v>
      </c>
      <c r="O272" s="23" t="str">
        <f t="shared" si="45"/>
        <v>1 Year</v>
      </c>
      <c r="P272" s="23" t="s">
        <v>810</v>
      </c>
      <c r="Q272" s="23" t="s">
        <v>646</v>
      </c>
      <c r="R272" s="27"/>
      <c r="S272" s="27"/>
      <c r="T272" s="23">
        <v>50704343</v>
      </c>
      <c r="U272" s="28">
        <v>4530355873875</v>
      </c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 t="s">
        <v>41</v>
      </c>
      <c r="AN272" s="23" t="s">
        <v>58</v>
      </c>
      <c r="AO272" s="23" t="s">
        <v>58</v>
      </c>
      <c r="AP272" s="32" t="s">
        <v>58</v>
      </c>
      <c r="AQ272" s="23"/>
      <c r="AR272" s="23"/>
      <c r="AS272" s="23" t="str">
        <f t="shared" ref="AS272:AS278" si="46">IF(AND(AN272="Yes"), "Yes", IF(AND(AN272=""), "No", "Incomplete"))</f>
        <v>Yes</v>
      </c>
      <c r="AT272" s="29" t="str">
        <f t="shared" si="39"/>
        <v>Yes</v>
      </c>
      <c r="AU272" s="30"/>
      <c r="AV272" s="31" t="s">
        <v>64</v>
      </c>
      <c r="AW272" s="31" t="s">
        <v>59</v>
      </c>
      <c r="AX272" s="2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</row>
    <row r="273" spans="1:74" ht="28.5" x14ac:dyDescent="0.25">
      <c r="A273" s="25">
        <v>268</v>
      </c>
      <c r="B273" s="23" t="s">
        <v>814</v>
      </c>
      <c r="C273" s="23" t="s">
        <v>798</v>
      </c>
      <c r="D273" s="26" t="s">
        <v>815</v>
      </c>
      <c r="E273" s="23">
        <v>11</v>
      </c>
      <c r="F273" s="23" t="s">
        <v>138</v>
      </c>
      <c r="G273" s="23">
        <f>VLOOKUP(C273,[2]Sheet2!$T$3:$V$92,3,FALSE)</f>
        <v>51</v>
      </c>
      <c r="H273" s="23" t="s">
        <v>68</v>
      </c>
      <c r="I273" s="23" t="s">
        <v>436</v>
      </c>
      <c r="J273" s="23">
        <v>1</v>
      </c>
      <c r="K273" s="6">
        <v>0.7</v>
      </c>
      <c r="L273" s="23" t="s">
        <v>574</v>
      </c>
      <c r="M273" s="23"/>
      <c r="N273" s="23" t="s">
        <v>95</v>
      </c>
      <c r="O273" s="23" t="str">
        <f t="shared" si="45"/>
        <v>1 Year</v>
      </c>
      <c r="P273" s="23" t="s">
        <v>810</v>
      </c>
      <c r="Q273" s="23"/>
      <c r="R273" s="27"/>
      <c r="S273" s="27"/>
      <c r="T273" s="23">
        <v>50676097</v>
      </c>
      <c r="U273" s="28">
        <v>4530386296419</v>
      </c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 t="s">
        <v>41</v>
      </c>
      <c r="AN273" s="32" t="s">
        <v>58</v>
      </c>
      <c r="AO273" s="32" t="s">
        <v>58</v>
      </c>
      <c r="AP273" s="32" t="s">
        <v>58</v>
      </c>
      <c r="AQ273" s="23"/>
      <c r="AR273" s="23"/>
      <c r="AS273" s="23" t="str">
        <f t="shared" si="46"/>
        <v>Yes</v>
      </c>
      <c r="AT273" s="29" t="str">
        <f t="shared" si="39"/>
        <v>Yes</v>
      </c>
      <c r="AU273" s="30"/>
      <c r="AV273" s="31"/>
      <c r="AW273" s="31" t="s">
        <v>59</v>
      </c>
      <c r="AX273" s="2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</row>
    <row r="274" spans="1:74" x14ac:dyDescent="0.25">
      <c r="A274" s="25">
        <v>270</v>
      </c>
      <c r="B274" s="23" t="s">
        <v>816</v>
      </c>
      <c r="C274" s="23" t="s">
        <v>798</v>
      </c>
      <c r="D274" s="26" t="s">
        <v>817</v>
      </c>
      <c r="E274" s="23">
        <v>7</v>
      </c>
      <c r="F274" s="23" t="s">
        <v>264</v>
      </c>
      <c r="G274" s="23">
        <f>VLOOKUP(C274,[2]Sheet2!$T$3:$V$92,3,FALSE)</f>
        <v>51</v>
      </c>
      <c r="H274" s="23" t="s">
        <v>68</v>
      </c>
      <c r="I274" s="23" t="s">
        <v>436</v>
      </c>
      <c r="J274" s="23">
        <v>1</v>
      </c>
      <c r="K274" s="6">
        <v>0.7</v>
      </c>
      <c r="L274" s="23" t="s">
        <v>574</v>
      </c>
      <c r="M274" s="23"/>
      <c r="N274" s="23"/>
      <c r="O274" s="23" t="e">
        <f t="shared" si="45"/>
        <v>#VALUE!</v>
      </c>
      <c r="P274" s="23"/>
      <c r="Q274" s="23"/>
      <c r="R274" s="27"/>
      <c r="S274" s="27"/>
      <c r="T274" s="23">
        <v>10450594</v>
      </c>
      <c r="U274" s="28">
        <v>4530157202061</v>
      </c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 t="s">
        <v>73</v>
      </c>
      <c r="AN274" s="23"/>
      <c r="AO274" s="23"/>
      <c r="AP274" s="23"/>
      <c r="AQ274" s="23"/>
      <c r="AR274" s="23"/>
      <c r="AS274" s="23" t="str">
        <f t="shared" si="46"/>
        <v>No</v>
      </c>
      <c r="AT274" s="29" t="str">
        <f t="shared" si="39"/>
        <v>NA</v>
      </c>
      <c r="AU274" s="30"/>
      <c r="AV274" s="31"/>
      <c r="AW274" s="31" t="s">
        <v>59</v>
      </c>
      <c r="AX274" s="2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</row>
    <row r="275" spans="1:74" x14ac:dyDescent="0.25">
      <c r="A275" s="25">
        <v>271</v>
      </c>
      <c r="B275" s="23" t="s">
        <v>818</v>
      </c>
      <c r="C275" s="23" t="s">
        <v>798</v>
      </c>
      <c r="D275" s="26" t="s">
        <v>819</v>
      </c>
      <c r="E275" s="23">
        <v>5</v>
      </c>
      <c r="F275" s="23" t="s">
        <v>161</v>
      </c>
      <c r="G275" s="23">
        <f>VLOOKUP(C275,[2]Sheet2!$T$3:$V$92,3,FALSE)</f>
        <v>51</v>
      </c>
      <c r="H275" s="23" t="s">
        <v>68</v>
      </c>
      <c r="I275" s="23" t="s">
        <v>436</v>
      </c>
      <c r="J275" s="23">
        <v>1</v>
      </c>
      <c r="K275" s="6">
        <v>0.6</v>
      </c>
      <c r="L275" s="23" t="s">
        <v>427</v>
      </c>
      <c r="M275" s="43" t="s">
        <v>302</v>
      </c>
      <c r="N275" s="43"/>
      <c r="O275" s="23" t="e">
        <f t="shared" si="45"/>
        <v>#VALUE!</v>
      </c>
      <c r="P275" s="43"/>
      <c r="Q275" s="43"/>
      <c r="R275" s="44">
        <v>35884</v>
      </c>
      <c r="S275" s="44">
        <v>44004</v>
      </c>
      <c r="T275" s="23">
        <v>10450513</v>
      </c>
      <c r="U275" s="28">
        <v>4530499927669</v>
      </c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 t="s">
        <v>42</v>
      </c>
      <c r="AN275" s="23" t="s">
        <v>58</v>
      </c>
      <c r="AO275" s="23" t="s">
        <v>58</v>
      </c>
      <c r="AP275" s="23"/>
      <c r="AQ275" s="23" t="s">
        <v>58</v>
      </c>
      <c r="AR275" s="23"/>
      <c r="AS275" s="23" t="str">
        <f t="shared" si="46"/>
        <v>Yes</v>
      </c>
      <c r="AT275" s="29" t="str">
        <f t="shared" si="39"/>
        <v>Yes</v>
      </c>
      <c r="AU275" s="30"/>
      <c r="AV275" s="31"/>
      <c r="AW275" s="31" t="s">
        <v>59</v>
      </c>
      <c r="AX275" s="2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</row>
    <row r="276" spans="1:74" x14ac:dyDescent="0.25">
      <c r="A276" s="25">
        <v>214</v>
      </c>
      <c r="B276" s="23" t="s">
        <v>820</v>
      </c>
      <c r="C276" s="23" t="s">
        <v>798</v>
      </c>
      <c r="D276" s="26" t="s">
        <v>821</v>
      </c>
      <c r="E276" s="23">
        <v>5</v>
      </c>
      <c r="F276" s="23" t="s">
        <v>71</v>
      </c>
      <c r="G276" s="23">
        <f>VLOOKUP(C276,[2]Sheet2!$T$3:$V$92,3,FALSE)</f>
        <v>51</v>
      </c>
      <c r="H276" s="23" t="s">
        <v>68</v>
      </c>
      <c r="I276" s="23" t="s">
        <v>436</v>
      </c>
      <c r="J276" s="23"/>
      <c r="K276" s="6">
        <v>0.8</v>
      </c>
      <c r="L276" s="23" t="s">
        <v>574</v>
      </c>
      <c r="M276" s="23"/>
      <c r="N276" s="23"/>
      <c r="O276" s="23" t="e">
        <f t="shared" si="45"/>
        <v>#VALUE!</v>
      </c>
      <c r="P276" s="23"/>
      <c r="Q276" s="23"/>
      <c r="R276" s="27"/>
      <c r="S276" s="27"/>
      <c r="T276" s="23">
        <v>10420403</v>
      </c>
      <c r="U276" s="28">
        <v>4530293308885</v>
      </c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 t="s">
        <v>73</v>
      </c>
      <c r="AN276" s="23"/>
      <c r="AO276" s="23"/>
      <c r="AP276" s="23"/>
      <c r="AQ276" s="23"/>
      <c r="AR276" s="23"/>
      <c r="AS276" s="23" t="str">
        <f t="shared" si="46"/>
        <v>No</v>
      </c>
      <c r="AT276" s="29" t="str">
        <f t="shared" si="39"/>
        <v>NA</v>
      </c>
      <c r="AU276" s="30"/>
      <c r="AV276" s="31"/>
      <c r="AW276" s="31" t="s">
        <v>59</v>
      </c>
      <c r="AX276" s="2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</row>
    <row r="277" spans="1:74" x14ac:dyDescent="0.25">
      <c r="A277" s="25">
        <v>273</v>
      </c>
      <c r="B277" s="23" t="s">
        <v>822</v>
      </c>
      <c r="C277" s="23" t="s">
        <v>798</v>
      </c>
      <c r="D277" s="26" t="s">
        <v>823</v>
      </c>
      <c r="E277" s="23">
        <v>4</v>
      </c>
      <c r="F277" s="23" t="s">
        <v>161</v>
      </c>
      <c r="G277" s="23">
        <f>VLOOKUP(C277,[2]Sheet2!$T$3:$V$92,3,FALSE)</f>
        <v>51</v>
      </c>
      <c r="H277" s="23" t="s">
        <v>68</v>
      </c>
      <c r="I277" s="23" t="s">
        <v>436</v>
      </c>
      <c r="J277" s="23">
        <v>1</v>
      </c>
      <c r="K277" s="6">
        <v>0.7</v>
      </c>
      <c r="L277" s="23" t="s">
        <v>574</v>
      </c>
      <c r="M277" s="43" t="s">
        <v>302</v>
      </c>
      <c r="N277" s="43"/>
      <c r="O277" s="23" t="e">
        <f t="shared" si="45"/>
        <v>#VALUE!</v>
      </c>
      <c r="P277" s="43"/>
      <c r="Q277" s="43"/>
      <c r="R277" s="64">
        <v>41456</v>
      </c>
      <c r="S277" s="64">
        <v>41456</v>
      </c>
      <c r="T277" s="23">
        <v>50189002</v>
      </c>
      <c r="U277" s="28">
        <v>4530415913485</v>
      </c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 t="s">
        <v>73</v>
      </c>
      <c r="AN277" s="23"/>
      <c r="AO277" s="23"/>
      <c r="AP277" s="23"/>
      <c r="AQ277" s="23"/>
      <c r="AR277" s="23"/>
      <c r="AS277" s="23" t="str">
        <f t="shared" si="46"/>
        <v>No</v>
      </c>
      <c r="AT277" s="29" t="str">
        <f t="shared" si="39"/>
        <v>NA</v>
      </c>
      <c r="AU277" s="30"/>
      <c r="AV277" s="31"/>
      <c r="AW277" s="31" t="s">
        <v>59</v>
      </c>
      <c r="AX277" s="2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</row>
    <row r="278" spans="1:74" x14ac:dyDescent="0.25">
      <c r="A278" s="25">
        <v>272</v>
      </c>
      <c r="B278" s="23" t="s">
        <v>824</v>
      </c>
      <c r="C278" s="23" t="s">
        <v>798</v>
      </c>
      <c r="D278" s="26" t="s">
        <v>370</v>
      </c>
      <c r="E278" s="23">
        <v>5</v>
      </c>
      <c r="F278" s="23" t="s">
        <v>71</v>
      </c>
      <c r="G278" s="23">
        <f>VLOOKUP(C278,[2]Sheet2!$T$3:$V$92,3,FALSE)</f>
        <v>51</v>
      </c>
      <c r="H278" s="23" t="s">
        <v>68</v>
      </c>
      <c r="I278" s="23" t="s">
        <v>436</v>
      </c>
      <c r="J278" s="23">
        <v>1</v>
      </c>
      <c r="K278" s="6">
        <v>0.68</v>
      </c>
      <c r="L278" s="23" t="s">
        <v>427</v>
      </c>
      <c r="M278" s="23"/>
      <c r="N278" s="23"/>
      <c r="O278" s="23" t="e">
        <f t="shared" si="45"/>
        <v>#VALUE!</v>
      </c>
      <c r="P278" s="23"/>
      <c r="Q278" s="23"/>
      <c r="R278" s="27"/>
      <c r="S278" s="27"/>
      <c r="T278" s="23">
        <v>10450662</v>
      </c>
      <c r="U278" s="28">
        <v>4530404122371</v>
      </c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 t="s">
        <v>73</v>
      </c>
      <c r="AN278" s="23"/>
      <c r="AO278" s="23"/>
      <c r="AP278" s="23"/>
      <c r="AQ278" s="23"/>
      <c r="AR278" s="23"/>
      <c r="AS278" s="23" t="str">
        <f t="shared" si="46"/>
        <v>No</v>
      </c>
      <c r="AT278" s="29" t="str">
        <f t="shared" si="39"/>
        <v>NA</v>
      </c>
      <c r="AU278" s="30"/>
      <c r="AV278" s="31"/>
      <c r="AW278" s="31" t="s">
        <v>59</v>
      </c>
      <c r="AX278" s="2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</row>
    <row r="279" spans="1:74" ht="42.75" x14ac:dyDescent="0.25">
      <c r="A279" s="25">
        <v>275</v>
      </c>
      <c r="B279" s="23" t="s">
        <v>825</v>
      </c>
      <c r="C279" s="23" t="s">
        <v>826</v>
      </c>
      <c r="D279" s="26" t="s">
        <v>827</v>
      </c>
      <c r="E279" s="23">
        <v>19</v>
      </c>
      <c r="F279" s="23" t="s">
        <v>555</v>
      </c>
      <c r="G279" s="23">
        <f>VLOOKUP(C279,[2]Sheet2!$T$3:$V$92,3,FALSE)</f>
        <v>52</v>
      </c>
      <c r="H279" s="23" t="s">
        <v>54</v>
      </c>
      <c r="I279" s="23" t="s">
        <v>436</v>
      </c>
      <c r="J279" s="23"/>
      <c r="L279" s="23"/>
      <c r="M279" s="23"/>
      <c r="N279" s="23" t="s">
        <v>372</v>
      </c>
      <c r="O279" s="23" t="e">
        <f ca="1">IF(ISNUMBER(SEARCH("to", N279)),
_xlfn.LET(
    _xlpm.text_n3, N279,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279" s="23"/>
      <c r="Q279" s="23" t="s">
        <v>373</v>
      </c>
      <c r="R279" s="27"/>
      <c r="S279" s="27">
        <v>45950</v>
      </c>
      <c r="T279" s="23">
        <v>20206952</v>
      </c>
      <c r="U279" s="28">
        <v>5220471059131</v>
      </c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 t="s">
        <v>42</v>
      </c>
      <c r="AN279" s="32" t="s">
        <v>58</v>
      </c>
      <c r="AO279" s="32" t="s">
        <v>58</v>
      </c>
      <c r="AP279" s="32" t="s">
        <v>58</v>
      </c>
      <c r="AQ279" s="32" t="s">
        <v>58</v>
      </c>
      <c r="AR279" s="23"/>
      <c r="AS279" s="23" t="str">
        <f t="shared" ref="AS279:AS284" si="47">IF(AND(AN279="Yes", AO279="Yes", AP279="Yes"), "Yes", IF(AND(AN279="", AO279="", AP279=""), "No", "Incomplete"))</f>
        <v>Yes</v>
      </c>
      <c r="AT279" s="29" t="str">
        <f t="shared" si="39"/>
        <v>Yes</v>
      </c>
      <c r="AU279" s="30"/>
      <c r="AV279" s="31"/>
      <c r="AW279" s="31" t="s">
        <v>59</v>
      </c>
      <c r="AX279" s="2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</row>
    <row r="280" spans="1:74" x14ac:dyDescent="0.25">
      <c r="A280" s="25">
        <v>276</v>
      </c>
      <c r="B280" s="23" t="s">
        <v>828</v>
      </c>
      <c r="C280" s="23" t="s">
        <v>826</v>
      </c>
      <c r="D280" s="26" t="s">
        <v>66</v>
      </c>
      <c r="E280" s="23">
        <v>18</v>
      </c>
      <c r="F280" s="23" t="s">
        <v>557</v>
      </c>
      <c r="G280" s="23">
        <f>VLOOKUP(C280,[2]Sheet2!$T$3:$V$92,3,FALSE)</f>
        <v>52</v>
      </c>
      <c r="H280" s="23" t="s">
        <v>54</v>
      </c>
      <c r="I280" s="23" t="s">
        <v>436</v>
      </c>
      <c r="J280" s="23"/>
      <c r="L280" s="23"/>
      <c r="M280" s="23"/>
      <c r="N280" s="23"/>
      <c r="O280" s="23" t="str">
        <f>IF(ISNUMBER(SEARCH("to", N280)),
_xlfn.LET(
    _xlpm.first_line, LEFT(N280, IFERROR(SEARCH(CHAR(10), N280)-1, LEN(N280))),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280" s="23"/>
      <c r="Q280" s="23"/>
      <c r="R280" s="27"/>
      <c r="S280" s="27"/>
      <c r="T280" s="23"/>
      <c r="U280" s="28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 t="s">
        <v>66</v>
      </c>
      <c r="AN280" s="23"/>
      <c r="AO280" s="23"/>
      <c r="AP280" s="23"/>
      <c r="AQ280" s="23"/>
      <c r="AR280" s="23"/>
      <c r="AS280" s="23" t="str">
        <f t="shared" si="47"/>
        <v>No</v>
      </c>
      <c r="AT280" s="29" t="str">
        <f t="shared" si="39"/>
        <v>Vacant</v>
      </c>
      <c r="AU280" s="30"/>
      <c r="AV280" s="31"/>
      <c r="AW280" s="31"/>
      <c r="AX280" s="2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</row>
    <row r="281" spans="1:74" x14ac:dyDescent="0.25">
      <c r="A281" s="25">
        <v>277</v>
      </c>
      <c r="B281" s="23" t="s">
        <v>829</v>
      </c>
      <c r="C281" s="23" t="s">
        <v>826</v>
      </c>
      <c r="D281" s="26" t="s">
        <v>830</v>
      </c>
      <c r="E281" s="23">
        <v>17</v>
      </c>
      <c r="F281" s="23" t="s">
        <v>560</v>
      </c>
      <c r="G281" s="23">
        <f>VLOOKUP(C281,[2]Sheet2!$T$3:$V$92,3,FALSE)</f>
        <v>52</v>
      </c>
      <c r="H281" s="23" t="s">
        <v>54</v>
      </c>
      <c r="I281" s="23" t="s">
        <v>436</v>
      </c>
      <c r="J281" s="23"/>
      <c r="K281" s="6">
        <v>0</v>
      </c>
      <c r="L281" s="23"/>
      <c r="M281" s="23"/>
      <c r="N281" s="23"/>
      <c r="O281" s="23" t="e">
        <f t="shared" ref="O281:O290" si="48">IF(DATEVALUE(MID(N281,15,10))-DATEVALUE(LEFT(N281,10))+1&gt;=365,"1 Year",
DATEDIF(DATEVALUE(LEFT(N281,10)),DATEVALUE(MID(N281,15,10)),"Y")&amp;" Years, "&amp;DATEDIF(DATEVALUE(LEFT(N281,10)),DATEVALUE(MID(N281,15,10)),"YM")&amp;" Months, "&amp;DATEDIF(DATEVALUE(LEFT(N281,10)),DATEVALUE(MID(N281,15,10)),"MD")&amp;" Days")</f>
        <v>#VALUE!</v>
      </c>
      <c r="P281" s="23"/>
      <c r="Q281" s="23"/>
      <c r="R281" s="27"/>
      <c r="S281" s="27"/>
      <c r="T281" s="23">
        <v>50755362</v>
      </c>
      <c r="U281" s="28">
        <v>4320134094953</v>
      </c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 t="s">
        <v>42</v>
      </c>
      <c r="AN281" s="32" t="s">
        <v>58</v>
      </c>
      <c r="AO281" s="32" t="s">
        <v>58</v>
      </c>
      <c r="AP281" s="32" t="s">
        <v>58</v>
      </c>
      <c r="AQ281" s="32" t="s">
        <v>58</v>
      </c>
      <c r="AR281" s="23"/>
      <c r="AS281" s="23" t="str">
        <f t="shared" si="47"/>
        <v>Yes</v>
      </c>
      <c r="AT281" s="29" t="str">
        <f t="shared" si="39"/>
        <v>Yes</v>
      </c>
      <c r="AU281" s="30"/>
      <c r="AV281" s="31"/>
      <c r="AW281" s="31" t="s">
        <v>59</v>
      </c>
      <c r="AX281" s="2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</row>
    <row r="282" spans="1:74" x14ac:dyDescent="0.25">
      <c r="A282" s="25">
        <v>278</v>
      </c>
      <c r="B282" s="23" t="s">
        <v>831</v>
      </c>
      <c r="C282" s="23" t="s">
        <v>826</v>
      </c>
      <c r="D282" s="26" t="s">
        <v>832</v>
      </c>
      <c r="E282" s="23">
        <v>16</v>
      </c>
      <c r="F282" s="23" t="s">
        <v>67</v>
      </c>
      <c r="G282" s="23">
        <f>VLOOKUP(C282,[2]Sheet2!$T$3:$V$92,3,FALSE)</f>
        <v>52</v>
      </c>
      <c r="H282" s="23" t="s">
        <v>68</v>
      </c>
      <c r="I282" s="23" t="s">
        <v>436</v>
      </c>
      <c r="J282" s="23"/>
      <c r="K282" s="6">
        <v>0</v>
      </c>
      <c r="L282" s="23"/>
      <c r="M282" s="23"/>
      <c r="N282" s="23"/>
      <c r="O282" s="23" t="e">
        <f t="shared" si="48"/>
        <v>#VALUE!</v>
      </c>
      <c r="P282" s="23"/>
      <c r="Q282" s="23"/>
      <c r="R282" s="27"/>
      <c r="S282" s="27"/>
      <c r="T282" s="23">
        <v>10427110</v>
      </c>
      <c r="U282" s="28">
        <v>4310224702623</v>
      </c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 t="s">
        <v>41</v>
      </c>
      <c r="AN282" s="32" t="s">
        <v>58</v>
      </c>
      <c r="AO282" s="32" t="s">
        <v>58</v>
      </c>
      <c r="AP282" s="32" t="s">
        <v>58</v>
      </c>
      <c r="AQ282" s="23"/>
      <c r="AR282" s="23"/>
      <c r="AS282" s="23" t="str">
        <f t="shared" si="47"/>
        <v>Yes</v>
      </c>
      <c r="AT282" s="29" t="str">
        <f t="shared" si="39"/>
        <v>Yes</v>
      </c>
      <c r="AU282" s="30"/>
      <c r="AV282" s="31"/>
      <c r="AW282" s="31" t="s">
        <v>59</v>
      </c>
      <c r="AX282" s="2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</row>
    <row r="283" spans="1:74" x14ac:dyDescent="0.25">
      <c r="A283" s="25">
        <v>279</v>
      </c>
      <c r="B283" s="23" t="s">
        <v>833</v>
      </c>
      <c r="C283" s="23" t="s">
        <v>826</v>
      </c>
      <c r="D283" s="26" t="s">
        <v>834</v>
      </c>
      <c r="E283" s="23">
        <v>16</v>
      </c>
      <c r="F283" s="23" t="s">
        <v>62</v>
      </c>
      <c r="G283" s="23">
        <f>VLOOKUP(C283,[2]Sheet2!$T$3:$V$92,3,FALSE)</f>
        <v>52</v>
      </c>
      <c r="H283" s="23" t="s">
        <v>54</v>
      </c>
      <c r="I283" s="23" t="s">
        <v>436</v>
      </c>
      <c r="J283" s="23"/>
      <c r="K283" s="6">
        <v>0</v>
      </c>
      <c r="L283" s="23"/>
      <c r="M283" s="23"/>
      <c r="N283" s="23"/>
      <c r="O283" s="23" t="e">
        <f t="shared" si="48"/>
        <v>#VALUE!</v>
      </c>
      <c r="P283" s="23"/>
      <c r="Q283" s="23"/>
      <c r="R283" s="27"/>
      <c r="S283" s="27"/>
      <c r="T283" s="23">
        <v>50216416</v>
      </c>
      <c r="U283" s="28">
        <v>4340603945293</v>
      </c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 t="s">
        <v>41</v>
      </c>
      <c r="AN283" s="23" t="s">
        <v>58</v>
      </c>
      <c r="AO283" s="23" t="s">
        <v>58</v>
      </c>
      <c r="AP283" s="32" t="s">
        <v>58</v>
      </c>
      <c r="AQ283" s="23"/>
      <c r="AR283" s="23"/>
      <c r="AS283" s="23" t="str">
        <f t="shared" si="47"/>
        <v>Yes</v>
      </c>
      <c r="AT283" s="29" t="str">
        <f>IF(AM283="Matric",IF(AN283="Yes","Yes",IF(AN283="Under Process", "Under Process","No")),IF(AM283="Inter",IF(AO283="Yes","Yes",IF(AO283="Under Process", "Under Process","No")),IF(AM283="Bachelor",IF(AP283="Yes","Yes",IF(AP283="Under Process", "Under Process","No")),IF(AM283="Master",IF(AQ283="Yes","Yes",IF(AQ283="Under Process", "Under Process","No")),IF(AM283="Vacant",IF(#REF!="Yes","No","Vacant"),IF(AM283="NA",IF(#REF!="Yes","No","NA"),"No"))))))</f>
        <v>Yes</v>
      </c>
      <c r="AU283" s="30"/>
      <c r="AV283" s="31"/>
      <c r="AW283" s="31" t="s">
        <v>59</v>
      </c>
      <c r="AX283" s="2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</row>
    <row r="284" spans="1:74" x14ac:dyDescent="0.25">
      <c r="A284" s="25">
        <v>280</v>
      </c>
      <c r="B284" s="23" t="s">
        <v>835</v>
      </c>
      <c r="C284" s="23" t="s">
        <v>826</v>
      </c>
      <c r="D284" s="26" t="s">
        <v>836</v>
      </c>
      <c r="E284" s="23">
        <v>15</v>
      </c>
      <c r="F284" s="23" t="s">
        <v>108</v>
      </c>
      <c r="G284" s="23">
        <f>VLOOKUP(C284,[2]Sheet2!$T$3:$V$92,3,FALSE)</f>
        <v>52</v>
      </c>
      <c r="H284" s="23" t="s">
        <v>68</v>
      </c>
      <c r="I284" s="23" t="s">
        <v>436</v>
      </c>
      <c r="J284" s="23"/>
      <c r="K284" s="6">
        <v>0</v>
      </c>
      <c r="L284" s="23"/>
      <c r="M284" s="23"/>
      <c r="N284" s="23"/>
      <c r="O284" s="23" t="e">
        <f t="shared" si="48"/>
        <v>#VALUE!</v>
      </c>
      <c r="P284" s="23"/>
      <c r="Q284" s="23"/>
      <c r="R284" s="27"/>
      <c r="S284" s="27"/>
      <c r="T284" s="23">
        <v>50173209</v>
      </c>
      <c r="U284" s="28">
        <v>4320351640811</v>
      </c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 t="s">
        <v>42</v>
      </c>
      <c r="AN284" s="32" t="s">
        <v>58</v>
      </c>
      <c r="AO284" s="32" t="s">
        <v>58</v>
      </c>
      <c r="AP284" s="32" t="s">
        <v>58</v>
      </c>
      <c r="AQ284" s="32" t="s">
        <v>58</v>
      </c>
      <c r="AR284" s="23" t="s">
        <v>404</v>
      </c>
      <c r="AS284" s="23" t="str">
        <f t="shared" si="47"/>
        <v>Yes</v>
      </c>
      <c r="AT284" s="29" t="str">
        <f>IF(AM284="Matric",IF(AN284="Yes","Yes",IF(AN284="Under Process", "Under Process","No")),IF(AM284="Inter",IF(AO284="Yes","Yes",IF(AO284="Under Process", "Under Process","No")),IF(AM284="Bachelor",IF(AP284="Yes","Yes",IF(AP284="Under Process", "Under Process","No")),IF(AM284="Master",IF(AQ284="Yes","Yes",IF(AQ284="Under Process", "Under Process","No")),IF(AM284="Vacant",IF([2]Extra!B52="Yes","No","Vacant"),IF(AM284="NA",IF([2]Extra!B52="Yes","No","NA"),"No"))))))</f>
        <v>Yes</v>
      </c>
      <c r="AU284" s="30"/>
      <c r="AV284" s="31"/>
      <c r="AW284" s="31" t="s">
        <v>59</v>
      </c>
      <c r="AX284" s="2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</row>
    <row r="285" spans="1:74" x14ac:dyDescent="0.25">
      <c r="A285" s="25">
        <v>281</v>
      </c>
      <c r="B285" s="23" t="s">
        <v>837</v>
      </c>
      <c r="C285" s="23" t="s">
        <v>826</v>
      </c>
      <c r="D285" s="26" t="s">
        <v>838</v>
      </c>
      <c r="E285" s="23">
        <v>13</v>
      </c>
      <c r="F285" s="23" t="s">
        <v>131</v>
      </c>
      <c r="G285" s="23">
        <f>VLOOKUP(C285,[2]Sheet2!$T$3:$V$92,3,FALSE)</f>
        <v>52</v>
      </c>
      <c r="H285" s="23" t="s">
        <v>68</v>
      </c>
      <c r="I285" s="23" t="s">
        <v>436</v>
      </c>
      <c r="J285" s="23"/>
      <c r="K285" s="6">
        <v>0</v>
      </c>
      <c r="L285" s="23"/>
      <c r="M285" s="23"/>
      <c r="N285" s="23"/>
      <c r="O285" s="23" t="e">
        <f t="shared" si="48"/>
        <v>#VALUE!</v>
      </c>
      <c r="P285" s="23"/>
      <c r="Q285" s="23"/>
      <c r="R285" s="27">
        <v>45951</v>
      </c>
      <c r="S285" s="27">
        <v>45951</v>
      </c>
      <c r="T285" s="23"/>
      <c r="U285" s="28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 t="s">
        <v>40</v>
      </c>
      <c r="AN285" s="32" t="s">
        <v>58</v>
      </c>
      <c r="AO285" s="32" t="s">
        <v>58</v>
      </c>
      <c r="AP285" s="23"/>
      <c r="AQ285" s="23"/>
      <c r="AR285" s="23"/>
      <c r="AS285" s="23" t="str">
        <f>IF(AND(AN285="Yes", AO285="Yes"), "Yes", IF(AND(AN285="", AO285=""), "No", "Incomplete"))</f>
        <v>Yes</v>
      </c>
      <c r="AT285" s="29" t="str">
        <f t="shared" ref="AT285:AT291" si="49">IF(AM285="Matric",IF(AN285="Yes","Yes",IF(AN285="Under Process", "Under Process","No")),IF(AM285="Inter",IF(AO285="Yes","Yes",IF(AO285="Under Process", "Under Process","No")),IF(AM285="Bachelor",IF(AP285="Yes","Yes",IF(AP285="Under Process", "Under Process","No")),IF(AM285="Master",IF(AQ285="Yes","Yes",IF(AQ285="Under Process", "Under Process","No")),IF(AM285="Vacant",IF(D293="Yes","No","Vacant"),IF(AM285="NA",IF(D293="Yes","No","NA"),"No"))))))</f>
        <v>Yes</v>
      </c>
      <c r="AU285" s="30"/>
      <c r="AV285" s="31"/>
      <c r="AW285" s="31"/>
      <c r="AX285" s="2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</row>
    <row r="286" spans="1:74" x14ac:dyDescent="0.25">
      <c r="A286" s="25">
        <v>282</v>
      </c>
      <c r="B286" s="23" t="s">
        <v>839</v>
      </c>
      <c r="C286" s="23" t="s">
        <v>826</v>
      </c>
      <c r="D286" s="26" t="s">
        <v>66</v>
      </c>
      <c r="E286" s="23">
        <v>11</v>
      </c>
      <c r="F286" s="23" t="s">
        <v>138</v>
      </c>
      <c r="G286" s="23">
        <f>VLOOKUP(C286,[2]Sheet2!$T$3:$V$92,3,FALSE)</f>
        <v>52</v>
      </c>
      <c r="H286" s="23" t="s">
        <v>68</v>
      </c>
      <c r="I286" s="23" t="s">
        <v>436</v>
      </c>
      <c r="J286" s="23"/>
      <c r="L286" s="23"/>
      <c r="M286" s="23"/>
      <c r="N286" s="23"/>
      <c r="O286" s="23" t="e">
        <f t="shared" si="48"/>
        <v>#VALUE!</v>
      </c>
      <c r="P286" s="23"/>
      <c r="Q286" s="23"/>
      <c r="R286" s="27"/>
      <c r="S286" s="27"/>
      <c r="T286" s="23"/>
      <c r="U286" s="28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 t="s">
        <v>66</v>
      </c>
      <c r="AN286" s="32"/>
      <c r="AO286" s="32"/>
      <c r="AP286" s="32"/>
      <c r="AQ286" s="32"/>
      <c r="AR286" s="23"/>
      <c r="AS286" s="23" t="str">
        <f>IF(AND(AN286="Yes"), "Yes", IF(AND(AN286=""), "No", "Incomplete"))</f>
        <v>No</v>
      </c>
      <c r="AT286" s="29" t="str">
        <f t="shared" si="49"/>
        <v>Vacant</v>
      </c>
      <c r="AU286" s="30"/>
      <c r="AV286" s="31"/>
      <c r="AW286" s="31"/>
      <c r="AX286" s="2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</row>
    <row r="287" spans="1:74" x14ac:dyDescent="0.25">
      <c r="A287" s="25">
        <v>283</v>
      </c>
      <c r="B287" s="23" t="s">
        <v>840</v>
      </c>
      <c r="C287" s="23" t="s">
        <v>826</v>
      </c>
      <c r="D287" s="26" t="s">
        <v>841</v>
      </c>
      <c r="E287" s="23">
        <v>7</v>
      </c>
      <c r="F287" s="23" t="s">
        <v>145</v>
      </c>
      <c r="G287" s="23">
        <f>VLOOKUP(C287,[2]Sheet2!$T$3:$V$92,3,FALSE)</f>
        <v>52</v>
      </c>
      <c r="H287" s="23" t="s">
        <v>68</v>
      </c>
      <c r="I287" s="23" t="s">
        <v>436</v>
      </c>
      <c r="J287" s="23"/>
      <c r="K287" s="6">
        <v>0</v>
      </c>
      <c r="L287" s="23"/>
      <c r="M287" s="23"/>
      <c r="N287" s="23"/>
      <c r="O287" s="23" t="e">
        <f t="shared" si="48"/>
        <v>#VALUE!</v>
      </c>
      <c r="P287" s="23"/>
      <c r="Q287" s="23"/>
      <c r="R287" s="27"/>
      <c r="S287" s="27"/>
      <c r="T287" s="23">
        <v>10179658</v>
      </c>
      <c r="U287" s="28">
        <v>4530233839297</v>
      </c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 t="s">
        <v>40</v>
      </c>
      <c r="AN287" s="23"/>
      <c r="AO287" s="32" t="s">
        <v>58</v>
      </c>
      <c r="AP287" s="23"/>
      <c r="AQ287" s="23"/>
      <c r="AR287" s="23"/>
      <c r="AS287" s="23" t="str">
        <f>IF(AND(AN287="Yes"), "Yes", IF(AND(AN287=""), "No", "Incomplete"))</f>
        <v>No</v>
      </c>
      <c r="AT287" s="29" t="str">
        <f t="shared" si="49"/>
        <v>Yes</v>
      </c>
      <c r="AU287" s="30"/>
      <c r="AV287" s="31"/>
      <c r="AW287" s="31" t="s">
        <v>59</v>
      </c>
      <c r="AX287" s="2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</row>
    <row r="288" spans="1:74" x14ac:dyDescent="0.25">
      <c r="A288" s="25">
        <v>284</v>
      </c>
      <c r="B288" s="23" t="s">
        <v>842</v>
      </c>
      <c r="C288" s="23" t="s">
        <v>826</v>
      </c>
      <c r="D288" s="26" t="s">
        <v>843</v>
      </c>
      <c r="E288" s="23">
        <v>7</v>
      </c>
      <c r="F288" s="23" t="s">
        <v>264</v>
      </c>
      <c r="G288" s="23">
        <f>VLOOKUP(C288,[2]Sheet2!$T$3:$V$92,3,FALSE)</f>
        <v>52</v>
      </c>
      <c r="H288" s="23" t="s">
        <v>68</v>
      </c>
      <c r="I288" s="23" t="s">
        <v>436</v>
      </c>
      <c r="J288" s="23"/>
      <c r="K288" s="6">
        <v>0</v>
      </c>
      <c r="L288" s="23"/>
      <c r="M288" s="23"/>
      <c r="N288" s="23"/>
      <c r="O288" s="23" t="e">
        <f t="shared" si="48"/>
        <v>#VALUE!</v>
      </c>
      <c r="P288" s="23"/>
      <c r="Q288" s="23"/>
      <c r="R288" s="27"/>
      <c r="S288" s="27"/>
      <c r="T288" s="23">
        <v>50390283</v>
      </c>
      <c r="U288" s="28">
        <v>4320361354219</v>
      </c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 t="s">
        <v>40</v>
      </c>
      <c r="AN288" s="32" t="s">
        <v>58</v>
      </c>
      <c r="AO288" s="32" t="s">
        <v>58</v>
      </c>
      <c r="AP288" s="23"/>
      <c r="AQ288" s="23"/>
      <c r="AR288" s="23"/>
      <c r="AS288" s="23" t="str">
        <f>IF(AND(AN288="Yes"), "Yes", IF(AND(AN288=""), "No", "Incomplete"))</f>
        <v>Yes</v>
      </c>
      <c r="AT288" s="29" t="str">
        <f t="shared" si="49"/>
        <v>Yes</v>
      </c>
      <c r="AU288" s="30"/>
      <c r="AV288" s="31"/>
      <c r="AW288" s="31" t="s">
        <v>59</v>
      </c>
      <c r="AX288" s="2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</row>
    <row r="289" spans="1:74" x14ac:dyDescent="0.25">
      <c r="A289" s="25">
        <v>285</v>
      </c>
      <c r="B289" s="23" t="s">
        <v>844</v>
      </c>
      <c r="C289" s="23" t="s">
        <v>826</v>
      </c>
      <c r="D289" s="26" t="s">
        <v>845</v>
      </c>
      <c r="E289" s="23">
        <v>5</v>
      </c>
      <c r="F289" s="23" t="s">
        <v>161</v>
      </c>
      <c r="G289" s="23">
        <f>VLOOKUP(C289,[2]Sheet2!$T$3:$V$92,3,FALSE)</f>
        <v>52</v>
      </c>
      <c r="H289" s="23" t="s">
        <v>68</v>
      </c>
      <c r="I289" s="23" t="s">
        <v>436</v>
      </c>
      <c r="J289" s="23"/>
      <c r="K289" s="6">
        <v>0</v>
      </c>
      <c r="L289" s="23"/>
      <c r="M289" s="63" t="s">
        <v>846</v>
      </c>
      <c r="N289" s="63"/>
      <c r="O289" s="23" t="e">
        <f t="shared" si="48"/>
        <v>#VALUE!</v>
      </c>
      <c r="P289" s="63"/>
      <c r="Q289" s="63"/>
      <c r="R289" s="64">
        <v>34059</v>
      </c>
      <c r="S289" s="64">
        <v>34059</v>
      </c>
      <c r="T289" s="23">
        <v>10179672</v>
      </c>
      <c r="U289" s="28">
        <v>4320285055641</v>
      </c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 t="s">
        <v>73</v>
      </c>
      <c r="AN289" s="23"/>
      <c r="AO289" s="23"/>
      <c r="AP289" s="23"/>
      <c r="AQ289" s="23"/>
      <c r="AR289" s="23"/>
      <c r="AS289" s="23" t="str">
        <f>IF(AND(AN289="Yes"), "Yes", IF(AND(AN289=""), "No", "Incomplete"))</f>
        <v>No</v>
      </c>
      <c r="AT289" s="29" t="str">
        <f t="shared" si="49"/>
        <v>NA</v>
      </c>
      <c r="AU289" s="30"/>
      <c r="AV289" s="31"/>
      <c r="AW289" s="31" t="s">
        <v>59</v>
      </c>
      <c r="AX289" s="2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</row>
    <row r="290" spans="1:74" s="65" customFormat="1" x14ac:dyDescent="0.25">
      <c r="A290" s="25">
        <v>286</v>
      </c>
      <c r="B290" s="23" t="s">
        <v>847</v>
      </c>
      <c r="C290" s="23" t="s">
        <v>826</v>
      </c>
      <c r="D290" s="26" t="s">
        <v>848</v>
      </c>
      <c r="E290" s="23">
        <v>4</v>
      </c>
      <c r="F290" s="23" t="s">
        <v>71</v>
      </c>
      <c r="G290" s="23">
        <f>VLOOKUP(C290,[2]Sheet2!$T$3:$V$92,3,FALSE)</f>
        <v>52</v>
      </c>
      <c r="H290" s="23" t="s">
        <v>68</v>
      </c>
      <c r="I290" s="23" t="s">
        <v>436</v>
      </c>
      <c r="J290" s="23"/>
      <c r="K290" s="6">
        <v>0</v>
      </c>
      <c r="L290" s="23"/>
      <c r="M290" s="23"/>
      <c r="N290" s="23"/>
      <c r="O290" s="23" t="e">
        <f t="shared" si="48"/>
        <v>#VALUE!</v>
      </c>
      <c r="P290" s="23"/>
      <c r="Q290" s="23"/>
      <c r="R290" s="27"/>
      <c r="S290" s="27"/>
      <c r="T290" s="23">
        <v>50699144</v>
      </c>
      <c r="U290" s="28">
        <v>4320314585027</v>
      </c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 t="s">
        <v>40</v>
      </c>
      <c r="AN290" s="23"/>
      <c r="AO290" s="23" t="s">
        <v>58</v>
      </c>
      <c r="AP290" s="23"/>
      <c r="AQ290" s="23"/>
      <c r="AR290" s="23"/>
      <c r="AS290" s="23" t="str">
        <f>IF(AND(AN290="Yes"), "Yes", IF(AND(AN290=""), "No", "Incomplete"))</f>
        <v>No</v>
      </c>
      <c r="AT290" s="29" t="str">
        <f t="shared" si="49"/>
        <v>Yes</v>
      </c>
      <c r="AU290" s="30"/>
      <c r="AV290" s="31"/>
      <c r="AW290" s="31" t="s">
        <v>59</v>
      </c>
      <c r="AX290" s="2"/>
    </row>
    <row r="291" spans="1:74" ht="28.5" x14ac:dyDescent="0.25">
      <c r="A291" s="25">
        <v>287</v>
      </c>
      <c r="B291" s="23" t="s">
        <v>849</v>
      </c>
      <c r="C291" s="23" t="s">
        <v>850</v>
      </c>
      <c r="D291" s="26" t="s">
        <v>851</v>
      </c>
      <c r="E291" s="23">
        <v>17</v>
      </c>
      <c r="F291" s="23" t="s">
        <v>586</v>
      </c>
      <c r="G291" s="23">
        <f>VLOOKUP(C291,[2]Sheet2!$T$3:$V$92,3,FALSE)</f>
        <v>53</v>
      </c>
      <c r="H291" s="23" t="s">
        <v>54</v>
      </c>
      <c r="I291" s="23" t="s">
        <v>436</v>
      </c>
      <c r="J291" s="23"/>
      <c r="L291" s="23"/>
      <c r="M291" s="23"/>
      <c r="N291" s="23" t="s">
        <v>852</v>
      </c>
      <c r="O291" s="23" t="e">
        <f ca="1">IF(ISNUMBER(SEARCH("to", N291)),
_xlfn.LET(
    _xlpm.text_n3, N291,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291" s="23"/>
      <c r="Q291" s="23" t="s">
        <v>57</v>
      </c>
      <c r="R291" s="27"/>
      <c r="S291" s="27"/>
      <c r="T291" s="23">
        <v>10427111</v>
      </c>
      <c r="U291" s="28">
        <v>4310203130571</v>
      </c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 t="s">
        <v>42</v>
      </c>
      <c r="AN291" s="32" t="s">
        <v>58</v>
      </c>
      <c r="AO291" s="32" t="s">
        <v>58</v>
      </c>
      <c r="AP291" s="32" t="s">
        <v>58</v>
      </c>
      <c r="AQ291" s="32" t="s">
        <v>58</v>
      </c>
      <c r="AR291" s="23"/>
      <c r="AS291" s="23" t="str">
        <f>IF(AND(AN291="Yes", AO291="Yes", AP291="Yes"), "Yes", IF(AND(AN291="", AO291="", AP291=""), "No", "Incomplete"))</f>
        <v>Yes</v>
      </c>
      <c r="AT291" s="29" t="str">
        <f t="shared" si="49"/>
        <v>Yes</v>
      </c>
      <c r="AU291" s="30"/>
      <c r="AV291" s="31"/>
      <c r="AW291" s="31" t="s">
        <v>59</v>
      </c>
      <c r="AX291" s="2" t="s">
        <v>64</v>
      </c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</row>
    <row r="292" spans="1:74" x14ac:dyDescent="0.25">
      <c r="A292" s="25">
        <v>288</v>
      </c>
      <c r="B292" s="23" t="s">
        <v>853</v>
      </c>
      <c r="C292" s="23" t="s">
        <v>850</v>
      </c>
      <c r="D292" s="4" t="s">
        <v>66</v>
      </c>
      <c r="E292" s="1">
        <v>15</v>
      </c>
      <c r="F292" s="1" t="s">
        <v>67</v>
      </c>
      <c r="G292" s="23">
        <f>VLOOKUP(C292,[2]Sheet2!$T$3:$V$92,3,FALSE)</f>
        <v>53</v>
      </c>
      <c r="H292" s="23" t="s">
        <v>68</v>
      </c>
      <c r="I292" s="23" t="s">
        <v>436</v>
      </c>
      <c r="J292" s="2"/>
      <c r="K292" s="6">
        <v>0</v>
      </c>
      <c r="L292" s="2"/>
      <c r="M292" s="1"/>
      <c r="N292" s="1"/>
      <c r="O292" s="23" t="e">
        <f>IF(DATEVALUE(MID(N292,15,10))-DATEVALUE(LEFT(N292,10))+1&gt;=365,"1 Year",
DATEDIF(DATEVALUE(LEFT(N292,10)),DATEVALUE(MID(N292,15,10)),"Y")&amp;" Years, "&amp;DATEDIF(DATEVALUE(LEFT(N292,10)),DATEVALUE(MID(N292,15,10)),"YM")&amp;" Months, "&amp;DATEDIF(DATEVALUE(LEFT(N292,10)),DATEVALUE(MID(N292,15,10)),"MD")&amp;" Days")</f>
        <v>#VALUE!</v>
      </c>
      <c r="P292" s="1"/>
      <c r="Q292" s="1"/>
      <c r="S292" s="49"/>
      <c r="T292" s="1"/>
      <c r="U292" s="58"/>
      <c r="V292" s="4"/>
      <c r="W292" s="59"/>
      <c r="X292"/>
      <c r="Y292"/>
      <c r="Z292" s="58"/>
      <c r="AA292"/>
      <c r="AC292" s="60"/>
      <c r="AG292"/>
      <c r="AI292" s="58"/>
      <c r="AK292" s="58"/>
      <c r="AL292"/>
      <c r="AM292"/>
      <c r="AO292" s="60"/>
      <c r="AQ292" s="60"/>
      <c r="AS292"/>
      <c r="AU292" s="49"/>
      <c r="AV292" s="49"/>
      <c r="AW292" s="49"/>
      <c r="AX292" s="49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</row>
    <row r="293" spans="1:74" x14ac:dyDescent="0.25">
      <c r="A293" s="25">
        <v>289</v>
      </c>
      <c r="B293" s="23" t="s">
        <v>854</v>
      </c>
      <c r="C293" s="23" t="s">
        <v>850</v>
      </c>
      <c r="D293" s="26" t="s">
        <v>855</v>
      </c>
      <c r="E293" s="23">
        <v>13</v>
      </c>
      <c r="F293" s="23" t="s">
        <v>131</v>
      </c>
      <c r="G293" s="23">
        <f>VLOOKUP(C293,[2]Sheet2!$T$3:$V$92,3,FALSE)</f>
        <v>53</v>
      </c>
      <c r="H293" s="23" t="s">
        <v>68</v>
      </c>
      <c r="I293" s="23" t="s">
        <v>436</v>
      </c>
      <c r="J293" s="23"/>
      <c r="K293" s="6">
        <v>0</v>
      </c>
      <c r="L293" s="23"/>
      <c r="M293" s="23"/>
      <c r="N293" s="23"/>
      <c r="O293" s="23" t="e">
        <f>IF(DATEVALUE(MID(N293,15,10))-DATEVALUE(LEFT(N293,10))+1&gt;=365,"1 Year",
DATEDIF(DATEVALUE(LEFT(N293,10)),DATEVALUE(MID(N293,15,10)),"Y")&amp;" Years, "&amp;DATEDIF(DATEVALUE(LEFT(N293,10)),DATEVALUE(MID(N293,15,10)),"YM")&amp;" Months, "&amp;DATEDIF(DATEVALUE(LEFT(N293,10)),DATEVALUE(MID(N293,15,10)),"MD")&amp;" Days")</f>
        <v>#VALUE!</v>
      </c>
      <c r="P293" s="23"/>
      <c r="Q293" s="23"/>
      <c r="R293" s="27"/>
      <c r="S293" s="27"/>
      <c r="T293" s="23">
        <v>50702147</v>
      </c>
      <c r="U293" s="28">
        <v>4320349728261</v>
      </c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 t="s">
        <v>41</v>
      </c>
      <c r="AN293" s="32" t="s">
        <v>58</v>
      </c>
      <c r="AO293" s="32" t="s">
        <v>58</v>
      </c>
      <c r="AP293" s="32" t="s">
        <v>58</v>
      </c>
      <c r="AQ293" s="23"/>
      <c r="AR293" s="23"/>
      <c r="AS293" s="23" t="str">
        <f>IF(AND(AN293="Yes", AO293="Yes"), "Yes", IF(AND(AN293="", AO293=""), "No", "Incomplete"))</f>
        <v>Yes</v>
      </c>
      <c r="AT293" s="29" t="str">
        <f t="shared" ref="AT293:AT306" si="50">IF(AM293="Matric",IF(AN293="Yes","Yes",IF(AN293="Under Process", "Under Process","No")),IF(AM293="Inter",IF(AO293="Yes","Yes",IF(AO293="Under Process", "Under Process","No")),IF(AM293="Bachelor",IF(AP293="Yes","Yes",IF(AP293="Under Process", "Under Process","No")),IF(AM293="Master",IF(AQ293="Yes","Yes",IF(AQ293="Under Process", "Under Process","No")),IF(AM293="Vacant",IF(D301="Yes","No","Vacant"),IF(AM293="NA",IF(D301="Yes","No","NA"),"No"))))))</f>
        <v>Yes</v>
      </c>
      <c r="AU293" s="30"/>
      <c r="AV293" s="31"/>
      <c r="AW293" s="31" t="s">
        <v>59</v>
      </c>
      <c r="AX293" s="2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</row>
    <row r="294" spans="1:74" x14ac:dyDescent="0.25">
      <c r="A294" s="25">
        <v>290</v>
      </c>
      <c r="B294" s="23" t="s">
        <v>856</v>
      </c>
      <c r="C294" s="23" t="s">
        <v>850</v>
      </c>
      <c r="D294" s="26" t="s">
        <v>857</v>
      </c>
      <c r="E294" s="23">
        <v>4</v>
      </c>
      <c r="F294" s="23" t="s">
        <v>161</v>
      </c>
      <c r="G294" s="23">
        <f>VLOOKUP(C294,[2]Sheet2!$T$3:$V$92,3,FALSE)</f>
        <v>53</v>
      </c>
      <c r="H294" s="23" t="s">
        <v>68</v>
      </c>
      <c r="I294" s="23" t="s">
        <v>436</v>
      </c>
      <c r="J294" s="23"/>
      <c r="K294" s="6">
        <v>0</v>
      </c>
      <c r="L294" s="23"/>
      <c r="M294" s="43" t="s">
        <v>858</v>
      </c>
      <c r="N294" s="43"/>
      <c r="O294" s="23" t="e">
        <f>IF(DATEVALUE(MID(N294,15,10))-DATEVALUE(LEFT(N294,10))+1&gt;=365,"1 Year",
DATEDIF(DATEVALUE(LEFT(N294,10)),DATEVALUE(MID(N294,15,10)),"Y")&amp;" Years, "&amp;DATEDIF(DATEVALUE(LEFT(N294,10)),DATEVALUE(MID(N294,15,10)),"YM")&amp;" Months, "&amp;DATEDIF(DATEVALUE(LEFT(N294,10)),DATEVALUE(MID(N294,15,10)),"MD")&amp;" Days")</f>
        <v>#VALUE!</v>
      </c>
      <c r="P294" s="43"/>
      <c r="Q294" s="43"/>
      <c r="R294" s="44">
        <v>41386</v>
      </c>
      <c r="S294" s="44">
        <v>45765</v>
      </c>
      <c r="T294" s="23">
        <v>50171836</v>
      </c>
      <c r="U294" s="28">
        <v>4320308495647</v>
      </c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 t="s">
        <v>73</v>
      </c>
      <c r="AN294" s="23"/>
      <c r="AO294" s="23"/>
      <c r="AP294" s="23"/>
      <c r="AQ294" s="23"/>
      <c r="AR294" s="23"/>
      <c r="AS294" s="23" t="str">
        <f>IF(AND(AN294="Yes"), "Yes", IF(AND(AN294=""), "No", "Incomplete"))</f>
        <v>No</v>
      </c>
      <c r="AT294" s="29" t="str">
        <f t="shared" si="50"/>
        <v>NA</v>
      </c>
      <c r="AU294" s="30"/>
      <c r="AV294" s="31"/>
      <c r="AW294" s="31" t="s">
        <v>59</v>
      </c>
      <c r="AX294" s="2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</row>
    <row r="295" spans="1:74" x14ac:dyDescent="0.25">
      <c r="A295" s="25">
        <v>291</v>
      </c>
      <c r="B295" s="23" t="s">
        <v>859</v>
      </c>
      <c r="C295" s="23" t="s">
        <v>850</v>
      </c>
      <c r="D295" s="26" t="s">
        <v>860</v>
      </c>
      <c r="E295" s="23">
        <v>4</v>
      </c>
      <c r="F295" s="23" t="s">
        <v>71</v>
      </c>
      <c r="G295" s="23">
        <f>VLOOKUP(C295,[2]Sheet2!$T$3:$V$92,3,FALSE)</f>
        <v>53</v>
      </c>
      <c r="H295" s="23" t="s">
        <v>68</v>
      </c>
      <c r="I295" s="23" t="s">
        <v>436</v>
      </c>
      <c r="J295" s="23"/>
      <c r="K295" s="6">
        <v>0</v>
      </c>
      <c r="L295" s="23"/>
      <c r="M295" s="23"/>
      <c r="N295" s="23"/>
      <c r="O295" s="23" t="e">
        <f>IF(DATEVALUE(MID(N295,15,10))-DATEVALUE(LEFT(N295,10))+1&gt;=365,"1 Year",
DATEDIF(DATEVALUE(LEFT(N295,10)),DATEVALUE(MID(N295,15,10)),"Y")&amp;" Years, "&amp;DATEDIF(DATEVALUE(LEFT(N295,10)),DATEVALUE(MID(N295,15,10)),"YM")&amp;" Months, "&amp;DATEDIF(DATEVALUE(LEFT(N295,10)),DATEVALUE(MID(N295,15,10)),"MD")&amp;" Days")</f>
        <v>#VALUE!</v>
      </c>
      <c r="P295" s="23"/>
      <c r="Q295" s="23"/>
      <c r="R295" s="27"/>
      <c r="S295" s="27"/>
      <c r="T295" s="23">
        <v>50702145</v>
      </c>
      <c r="U295" s="28">
        <v>4320566416625</v>
      </c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 t="s">
        <v>40</v>
      </c>
      <c r="AN295" s="32" t="s">
        <v>58</v>
      </c>
      <c r="AO295" s="32" t="s">
        <v>58</v>
      </c>
      <c r="AP295" s="23"/>
      <c r="AQ295" s="23"/>
      <c r="AR295" s="23"/>
      <c r="AS295" s="23" t="str">
        <f>IF(AND(AN295="Yes"), "Yes", IF(AND(AN295=""), "No", "Incomplete"))</f>
        <v>Yes</v>
      </c>
      <c r="AT295" s="29" t="str">
        <f t="shared" si="50"/>
        <v>Yes</v>
      </c>
      <c r="AU295" s="30"/>
      <c r="AV295" s="31"/>
      <c r="AW295" s="31" t="s">
        <v>59</v>
      </c>
      <c r="AX295" s="2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</row>
    <row r="296" spans="1:74" x14ac:dyDescent="0.25">
      <c r="A296" s="25">
        <v>292</v>
      </c>
      <c r="B296" s="23" t="s">
        <v>861</v>
      </c>
      <c r="C296" s="23" t="s">
        <v>862</v>
      </c>
      <c r="D296" s="26" t="s">
        <v>863</v>
      </c>
      <c r="E296" s="23">
        <v>17</v>
      </c>
      <c r="F296" s="23" t="s">
        <v>511</v>
      </c>
      <c r="G296" s="23">
        <f>VLOOKUP(C296,[2]Sheet2!$T$3:$V$92,3,FALSE)</f>
        <v>54</v>
      </c>
      <c r="H296" s="23" t="s">
        <v>54</v>
      </c>
      <c r="I296" s="23" t="s">
        <v>436</v>
      </c>
      <c r="J296" s="23"/>
      <c r="L296" s="23"/>
      <c r="M296" s="23"/>
      <c r="N296" s="23" t="s">
        <v>56</v>
      </c>
      <c r="O296" s="23" t="e">
        <f ca="1">IF(ISNUMBER(SEARCH("to", N296)),
_xlfn.LET(
    _xlpm.text_n3, N296,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296" s="23"/>
      <c r="Q296" s="23" t="s">
        <v>57</v>
      </c>
      <c r="R296" s="27"/>
      <c r="S296" s="27"/>
      <c r="T296" s="23">
        <v>50721427</v>
      </c>
      <c r="U296" s="28">
        <v>4320528612785</v>
      </c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 t="s">
        <v>41</v>
      </c>
      <c r="AN296" s="23" t="s">
        <v>58</v>
      </c>
      <c r="AO296" s="23" t="s">
        <v>58</v>
      </c>
      <c r="AP296" s="23" t="s">
        <v>58</v>
      </c>
      <c r="AQ296" s="23"/>
      <c r="AR296" s="23"/>
      <c r="AS296" s="23" t="str">
        <f>IF(AND(AN296="Yes", AO296="Yes", AP296="Yes"), "Yes", IF(AND(AN296="", AO296="", AP296=""), "No", "Incomplete"))</f>
        <v>Yes</v>
      </c>
      <c r="AT296" s="29" t="str">
        <f t="shared" si="50"/>
        <v>Yes</v>
      </c>
      <c r="AU296" s="30"/>
      <c r="AV296" s="31"/>
      <c r="AW296" s="31" t="s">
        <v>59</v>
      </c>
      <c r="AX296" s="2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</row>
    <row r="297" spans="1:74" ht="28.5" x14ac:dyDescent="0.25">
      <c r="A297" s="25">
        <v>293</v>
      </c>
      <c r="B297" s="23" t="s">
        <v>864</v>
      </c>
      <c r="C297" s="23" t="s">
        <v>862</v>
      </c>
      <c r="D297" s="26" t="s">
        <v>865</v>
      </c>
      <c r="E297" s="23">
        <v>15</v>
      </c>
      <c r="F297" s="23" t="s">
        <v>602</v>
      </c>
      <c r="G297" s="23">
        <f>VLOOKUP(C297,[2]Sheet2!$T$3:$V$92,3,FALSE)</f>
        <v>54</v>
      </c>
      <c r="H297" s="23" t="s">
        <v>68</v>
      </c>
      <c r="I297" s="23" t="s">
        <v>436</v>
      </c>
      <c r="J297" s="23"/>
      <c r="K297" s="6">
        <v>0</v>
      </c>
      <c r="L297" s="23"/>
      <c r="M297" s="23" t="s">
        <v>858</v>
      </c>
      <c r="N297" s="23"/>
      <c r="O297" s="23" t="e">
        <f>IF(DATEVALUE(MID(N297,15,10))-DATEVALUE(LEFT(N297,10))+1&gt;=365,"1 Year",
DATEDIF(DATEVALUE(LEFT(N297,10)),DATEVALUE(MID(N297,15,10)),"Y")&amp;" Years, "&amp;DATEDIF(DATEVALUE(LEFT(N297,10)),DATEVALUE(MID(N297,15,10)),"YM")&amp;" Months, "&amp;DATEDIF(DATEVALUE(LEFT(N297,10)),DATEVALUE(MID(N297,15,10)),"MD")&amp;" Days")</f>
        <v>#VALUE!</v>
      </c>
      <c r="P297" s="23"/>
      <c r="Q297" s="23"/>
      <c r="R297" s="27">
        <v>42054</v>
      </c>
      <c r="S297" s="27"/>
      <c r="T297" s="23">
        <v>50216883</v>
      </c>
      <c r="U297" s="28">
        <v>4320343307821</v>
      </c>
      <c r="V297" s="46">
        <v>33253</v>
      </c>
      <c r="W297" s="23" t="s">
        <v>337</v>
      </c>
      <c r="X297" s="23" t="s">
        <v>338</v>
      </c>
      <c r="Y297" s="23" t="s">
        <v>858</v>
      </c>
      <c r="Z297" s="46">
        <v>42054</v>
      </c>
      <c r="AA297" s="46">
        <v>42054</v>
      </c>
      <c r="AB297" s="23" t="s">
        <v>339</v>
      </c>
      <c r="AC297" s="23" t="s">
        <v>189</v>
      </c>
      <c r="AD297" s="23" t="s">
        <v>866</v>
      </c>
      <c r="AE297" s="23">
        <v>3313077824</v>
      </c>
      <c r="AF297" s="23" t="s">
        <v>867</v>
      </c>
      <c r="AG297" s="23" t="s">
        <v>868</v>
      </c>
      <c r="AH297" s="23" t="s">
        <v>58</v>
      </c>
      <c r="AI297" s="23" t="s">
        <v>869</v>
      </c>
      <c r="AJ297" s="23" t="s">
        <v>870</v>
      </c>
      <c r="AK297" s="23"/>
      <c r="AL297" s="23"/>
      <c r="AM297" s="23" t="s">
        <v>42</v>
      </c>
      <c r="AN297" s="32" t="s">
        <v>58</v>
      </c>
      <c r="AO297" s="32" t="s">
        <v>58</v>
      </c>
      <c r="AP297" s="32" t="s">
        <v>58</v>
      </c>
      <c r="AQ297" s="32" t="s">
        <v>58</v>
      </c>
      <c r="AR297" s="23"/>
      <c r="AS297" s="23" t="str">
        <f>IF(AND(AN297="Yes", AO297="Yes", AP297="Yes"), "Yes", IF(AND(AN297="", AO297="", AP297=""), "No", "Incomplete"))</f>
        <v>Yes</v>
      </c>
      <c r="AT297" s="29" t="str">
        <f t="shared" si="50"/>
        <v>Yes</v>
      </c>
      <c r="AU297" s="30"/>
      <c r="AV297" s="31" t="s">
        <v>64</v>
      </c>
      <c r="AW297" s="31" t="s">
        <v>59</v>
      </c>
      <c r="AX297" s="2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</row>
    <row r="298" spans="1:74" x14ac:dyDescent="0.25">
      <c r="A298" s="25">
        <v>294</v>
      </c>
      <c r="B298" s="23" t="s">
        <v>871</v>
      </c>
      <c r="C298" s="23" t="s">
        <v>862</v>
      </c>
      <c r="D298" s="26" t="s">
        <v>66</v>
      </c>
      <c r="E298" s="23">
        <v>5</v>
      </c>
      <c r="F298" s="23" t="s">
        <v>605</v>
      </c>
      <c r="G298" s="23">
        <f>VLOOKUP(C298,[2]Sheet2!$T$3:$V$92,3,FALSE)</f>
        <v>54</v>
      </c>
      <c r="H298" s="23" t="s">
        <v>68</v>
      </c>
      <c r="I298" s="23" t="s">
        <v>436</v>
      </c>
      <c r="J298" s="23"/>
      <c r="K298" s="6">
        <v>0</v>
      </c>
      <c r="L298" s="23"/>
      <c r="M298" s="23"/>
      <c r="N298" s="23"/>
      <c r="O298" s="23" t="e">
        <f>IF(DATEVALUE(MID(N298,15,10))-DATEVALUE(LEFT(N298,10))+1&gt;=365,"1 Year",
DATEDIF(DATEVALUE(LEFT(N298,10)),DATEVALUE(MID(N298,15,10)),"Y")&amp;" Years, "&amp;DATEDIF(DATEVALUE(LEFT(N298,10)),DATEVALUE(MID(N298,15,10)),"YM")&amp;" Months, "&amp;DATEDIF(DATEVALUE(LEFT(N298,10)),DATEVALUE(MID(N298,15,10)),"MD")&amp;" Days")</f>
        <v>#VALUE!</v>
      </c>
      <c r="P298" s="23"/>
      <c r="Q298" s="23"/>
      <c r="R298" s="27"/>
      <c r="S298" s="27"/>
      <c r="T298" s="23"/>
      <c r="U298" s="28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 t="s">
        <v>66</v>
      </c>
      <c r="AN298" s="23"/>
      <c r="AO298" s="23"/>
      <c r="AP298" s="23"/>
      <c r="AQ298" s="23"/>
      <c r="AR298" s="23"/>
      <c r="AS298" s="23" t="str">
        <f>IF(AND(AN298="Yes"), "Yes", IF(AND(AN298=""), "No", "Incomplete"))</f>
        <v>No</v>
      </c>
      <c r="AT298" s="29" t="str">
        <f t="shared" si="50"/>
        <v>Vacant</v>
      </c>
      <c r="AU298" s="30"/>
      <c r="AV298" s="31"/>
      <c r="AW298" s="31"/>
      <c r="AX298" s="2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</row>
    <row r="299" spans="1:74" ht="28.5" x14ac:dyDescent="0.25">
      <c r="A299" s="25">
        <v>176</v>
      </c>
      <c r="B299" s="23" t="s">
        <v>872</v>
      </c>
      <c r="C299" s="23" t="s">
        <v>873</v>
      </c>
      <c r="D299" s="26" t="s">
        <v>874</v>
      </c>
      <c r="E299" s="23">
        <v>18</v>
      </c>
      <c r="F299" s="23" t="s">
        <v>440</v>
      </c>
      <c r="G299" s="23">
        <f>VLOOKUP(C299,[2]Sheet2!$T$3:$V$92,3,FALSE)</f>
        <v>55</v>
      </c>
      <c r="H299" s="23" t="s">
        <v>54</v>
      </c>
      <c r="I299" s="23" t="s">
        <v>436</v>
      </c>
      <c r="J299" s="23"/>
      <c r="L299" s="23"/>
      <c r="M299" s="23"/>
      <c r="N299" s="23" t="s">
        <v>609</v>
      </c>
      <c r="O299" s="23" t="e">
        <f ca="1">IF(ISNUMBER(SEARCH("to", N299)),
_xlfn.LET(
    _xlpm.text_n3, N299,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299" s="23"/>
      <c r="Q299" s="23" t="s">
        <v>57</v>
      </c>
      <c r="R299" s="27"/>
      <c r="S299" s="27"/>
      <c r="T299" s="23">
        <v>10465896</v>
      </c>
      <c r="U299" s="28">
        <v>4220182144527</v>
      </c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 t="s">
        <v>42</v>
      </c>
      <c r="AN299" s="32" t="s">
        <v>58</v>
      </c>
      <c r="AO299" s="32" t="s">
        <v>58</v>
      </c>
      <c r="AP299" s="23" t="s">
        <v>58</v>
      </c>
      <c r="AQ299" s="32" t="s">
        <v>58</v>
      </c>
      <c r="AR299" s="23"/>
      <c r="AS299" s="23" t="str">
        <f t="shared" ref="AS299:AS304" si="51">IF(AND(AN299="Yes", AO299="Yes", AP299="Yes"), "Yes", IF(AND(AN299="", AO299="", AP299=""), "No", "Incomplete"))</f>
        <v>Yes</v>
      </c>
      <c r="AT299" s="29" t="str">
        <f t="shared" si="50"/>
        <v>Yes</v>
      </c>
      <c r="AU299" s="30"/>
      <c r="AV299" s="31"/>
      <c r="AW299" s="31" t="s">
        <v>59</v>
      </c>
      <c r="AX299" s="2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</row>
    <row r="300" spans="1:74" ht="71.25" x14ac:dyDescent="0.25">
      <c r="A300" s="25">
        <v>296</v>
      </c>
      <c r="B300" s="23" t="s">
        <v>875</v>
      </c>
      <c r="C300" s="23" t="s">
        <v>873</v>
      </c>
      <c r="D300" s="26" t="s">
        <v>876</v>
      </c>
      <c r="E300" s="23">
        <v>17</v>
      </c>
      <c r="F300" s="23" t="s">
        <v>586</v>
      </c>
      <c r="G300" s="23">
        <f>VLOOKUP(C300,[2]Sheet2!$T$3:$V$92,3,FALSE)</f>
        <v>55</v>
      </c>
      <c r="H300" s="23" t="s">
        <v>54</v>
      </c>
      <c r="I300" s="23" t="s">
        <v>436</v>
      </c>
      <c r="J300" s="23"/>
      <c r="L300" s="23"/>
      <c r="M300" s="23"/>
      <c r="N300" s="23" t="s">
        <v>877</v>
      </c>
      <c r="O300" s="23" t="e">
        <f ca="1">IF(ISNUMBER(SEARCH("to", N300)),
_xlfn.LET(
    _xlpm.text_n3, N300,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00" s="23"/>
      <c r="Q300" s="23" t="s">
        <v>57</v>
      </c>
      <c r="R300" s="27"/>
      <c r="S300" s="27"/>
      <c r="T300" s="23">
        <v>50620946</v>
      </c>
      <c r="U300" s="28">
        <v>4320635724855</v>
      </c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 t="s">
        <v>42</v>
      </c>
      <c r="AN300" s="32" t="s">
        <v>58</v>
      </c>
      <c r="AO300" s="32" t="s">
        <v>58</v>
      </c>
      <c r="AP300" s="32" t="s">
        <v>58</v>
      </c>
      <c r="AQ300" s="32" t="s">
        <v>58</v>
      </c>
      <c r="AR300" s="23"/>
      <c r="AS300" s="23" t="str">
        <f t="shared" si="51"/>
        <v>Yes</v>
      </c>
      <c r="AT300" s="29" t="str">
        <f t="shared" si="50"/>
        <v>Yes</v>
      </c>
      <c r="AU300" s="30"/>
      <c r="AV300" s="31"/>
      <c r="AW300" s="31" t="s">
        <v>59</v>
      </c>
      <c r="AX300" s="2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</row>
    <row r="301" spans="1:74" x14ac:dyDescent="0.25">
      <c r="A301" s="25">
        <v>297</v>
      </c>
      <c r="B301" s="23" t="s">
        <v>878</v>
      </c>
      <c r="C301" s="23" t="s">
        <v>873</v>
      </c>
      <c r="D301" s="26" t="s">
        <v>879</v>
      </c>
      <c r="E301" s="23">
        <v>16</v>
      </c>
      <c r="F301" s="23" t="s">
        <v>67</v>
      </c>
      <c r="G301" s="23">
        <f>VLOOKUP(C301,[2]Sheet2!$T$3:$V$92,3,FALSE)</f>
        <v>55</v>
      </c>
      <c r="H301" s="23" t="s">
        <v>68</v>
      </c>
      <c r="I301" s="23" t="s">
        <v>436</v>
      </c>
      <c r="J301" s="23"/>
      <c r="K301" s="6">
        <v>0</v>
      </c>
      <c r="L301" s="23"/>
      <c r="M301" s="23"/>
      <c r="N301" s="23"/>
      <c r="O301" s="23" t="e">
        <f>IF(DATEVALUE(MID(N301,15,10))-DATEVALUE(LEFT(N301,10))+1&gt;=365,"1 Year",
DATEDIF(DATEVALUE(LEFT(N301,10)),DATEVALUE(MID(N301,15,10)),"Y")&amp;" Years, "&amp;DATEDIF(DATEVALUE(LEFT(N301,10)),DATEVALUE(MID(N301,15,10)),"YM")&amp;" Months, "&amp;DATEDIF(DATEVALUE(LEFT(N301,10)),DATEVALUE(MID(N301,15,10)),"MD")&amp;" Days")</f>
        <v>#VALUE!</v>
      </c>
      <c r="P301" s="23"/>
      <c r="Q301" s="23"/>
      <c r="R301" s="27"/>
      <c r="S301" s="27"/>
      <c r="T301" s="23">
        <v>50702142</v>
      </c>
      <c r="U301" s="28">
        <v>4320347821019</v>
      </c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 t="s">
        <v>41</v>
      </c>
      <c r="AN301" s="32" t="s">
        <v>58</v>
      </c>
      <c r="AO301" s="32" t="s">
        <v>58</v>
      </c>
      <c r="AP301" s="32" t="s">
        <v>58</v>
      </c>
      <c r="AQ301" s="23"/>
      <c r="AR301" s="23"/>
      <c r="AS301" s="23" t="str">
        <f t="shared" si="51"/>
        <v>Yes</v>
      </c>
      <c r="AT301" s="29" t="str">
        <f t="shared" si="50"/>
        <v>Yes</v>
      </c>
      <c r="AU301" s="30"/>
      <c r="AV301" s="31"/>
      <c r="AW301" s="31" t="s">
        <v>59</v>
      </c>
      <c r="AX301" s="2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</row>
    <row r="302" spans="1:74" x14ac:dyDescent="0.25">
      <c r="A302" s="25">
        <v>298</v>
      </c>
      <c r="B302" s="23" t="s">
        <v>880</v>
      </c>
      <c r="C302" s="23" t="s">
        <v>873</v>
      </c>
      <c r="D302" s="26" t="s">
        <v>881</v>
      </c>
      <c r="E302" s="23">
        <v>15</v>
      </c>
      <c r="F302" s="23" t="s">
        <v>108</v>
      </c>
      <c r="G302" s="23">
        <f>VLOOKUP(C302,[2]Sheet2!$T$3:$V$92,3,FALSE)</f>
        <v>55</v>
      </c>
      <c r="H302" s="23" t="s">
        <v>68</v>
      </c>
      <c r="I302" s="23" t="s">
        <v>436</v>
      </c>
      <c r="J302" s="23"/>
      <c r="K302" s="6">
        <v>0</v>
      </c>
      <c r="L302" s="23"/>
      <c r="M302" s="23"/>
      <c r="N302" s="23"/>
      <c r="O302" s="23" t="e">
        <f>IF(DATEVALUE(MID(N302,15,10))-DATEVALUE(LEFT(N302,10))+1&gt;=365,"1 Year",
DATEDIF(DATEVALUE(LEFT(N302,10)),DATEVALUE(MID(N302,15,10)),"Y")&amp;" Years, "&amp;DATEDIF(DATEVALUE(LEFT(N302,10)),DATEVALUE(MID(N302,15,10)),"YM")&amp;" Months, "&amp;DATEDIF(DATEVALUE(LEFT(N302,10)),DATEVALUE(MID(N302,15,10)),"MD")&amp;" Days")</f>
        <v>#VALUE!</v>
      </c>
      <c r="P302" s="23"/>
      <c r="Q302" s="23"/>
      <c r="R302" s="27"/>
      <c r="S302" s="27"/>
      <c r="T302" s="23">
        <v>50702141</v>
      </c>
      <c r="U302" s="28">
        <v>4320340046519</v>
      </c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 t="s">
        <v>42</v>
      </c>
      <c r="AN302" s="32" t="s">
        <v>58</v>
      </c>
      <c r="AO302" s="32" t="s">
        <v>58</v>
      </c>
      <c r="AP302" s="32" t="s">
        <v>58</v>
      </c>
      <c r="AQ302" s="32" t="s">
        <v>58</v>
      </c>
      <c r="AR302" s="23" t="s">
        <v>882</v>
      </c>
      <c r="AS302" s="23" t="str">
        <f t="shared" si="51"/>
        <v>Yes</v>
      </c>
      <c r="AT302" s="29" t="str">
        <f t="shared" si="50"/>
        <v>Yes</v>
      </c>
      <c r="AU302" s="30"/>
      <c r="AV302" s="31"/>
      <c r="AW302" s="31" t="s">
        <v>59</v>
      </c>
      <c r="AX302" s="2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</row>
    <row r="303" spans="1:74" x14ac:dyDescent="0.25">
      <c r="A303" s="25">
        <v>299</v>
      </c>
      <c r="B303" s="23" t="s">
        <v>883</v>
      </c>
      <c r="C303" s="23" t="s">
        <v>873</v>
      </c>
      <c r="D303" s="26" t="s">
        <v>884</v>
      </c>
      <c r="E303" s="23">
        <v>15</v>
      </c>
      <c r="F303" s="23" t="s">
        <v>108</v>
      </c>
      <c r="G303" s="23">
        <f>VLOOKUP(C303,[2]Sheet2!$T$3:$V$92,3,FALSE)</f>
        <v>55</v>
      </c>
      <c r="H303" s="23" t="s">
        <v>68</v>
      </c>
      <c r="I303" s="23" t="s">
        <v>436</v>
      </c>
      <c r="J303" s="23"/>
      <c r="K303" s="6">
        <v>0</v>
      </c>
      <c r="L303" s="23"/>
      <c r="M303" s="23"/>
      <c r="N303" s="23"/>
      <c r="O303" s="23" t="e">
        <f>IF(DATEVALUE(MID(N303,15,10))-DATEVALUE(LEFT(N303,10))+1&gt;=365,"1 Year",
DATEDIF(DATEVALUE(LEFT(N303,10)),DATEVALUE(MID(N303,15,10)),"Y")&amp;" Years, "&amp;DATEDIF(DATEVALUE(LEFT(N303,10)),DATEVALUE(MID(N303,15,10)),"YM")&amp;" Months, "&amp;DATEDIF(DATEVALUE(LEFT(N303,10)),DATEVALUE(MID(N303,15,10)),"MD")&amp;" Days")</f>
        <v>#VALUE!</v>
      </c>
      <c r="P303" s="23"/>
      <c r="Q303" s="23"/>
      <c r="R303" s="27"/>
      <c r="S303" s="27"/>
      <c r="T303" s="23">
        <v>50700082</v>
      </c>
      <c r="U303" s="28">
        <v>4320376005499</v>
      </c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 t="s">
        <v>41</v>
      </c>
      <c r="AN303" s="32" t="s">
        <v>58</v>
      </c>
      <c r="AO303" s="32" t="s">
        <v>58</v>
      </c>
      <c r="AP303" s="32" t="s">
        <v>58</v>
      </c>
      <c r="AQ303" s="23"/>
      <c r="AR303" s="23"/>
      <c r="AS303" s="23" t="str">
        <f t="shared" si="51"/>
        <v>Yes</v>
      </c>
      <c r="AT303" s="29" t="str">
        <f t="shared" si="50"/>
        <v>Yes</v>
      </c>
      <c r="AU303" s="30"/>
      <c r="AV303" s="31"/>
      <c r="AW303" s="31" t="s">
        <v>59</v>
      </c>
      <c r="AX303" s="2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</row>
    <row r="304" spans="1:74" x14ac:dyDescent="0.25">
      <c r="A304" s="25">
        <v>300</v>
      </c>
      <c r="B304" s="23" t="s">
        <v>885</v>
      </c>
      <c r="C304" s="23" t="s">
        <v>873</v>
      </c>
      <c r="D304" s="26" t="s">
        <v>886</v>
      </c>
      <c r="E304" s="23">
        <v>15</v>
      </c>
      <c r="F304" s="23" t="s">
        <v>108</v>
      </c>
      <c r="G304" s="23">
        <f>VLOOKUP(C304,[2]Sheet2!$T$3:$V$92,3,FALSE)</f>
        <v>55</v>
      </c>
      <c r="H304" s="23" t="s">
        <v>68</v>
      </c>
      <c r="I304" s="23" t="s">
        <v>436</v>
      </c>
      <c r="J304" s="23">
        <v>3</v>
      </c>
      <c r="K304" s="6">
        <v>0.5</v>
      </c>
      <c r="L304" s="23" t="s">
        <v>887</v>
      </c>
      <c r="M304" s="23"/>
      <c r="N304" s="23"/>
      <c r="O304" s="23" t="e">
        <f>IF(DATEVALUE(MID(N304,15,10))-DATEVALUE(LEFT(N304,10))+1&gt;=365,"1 Year",
DATEDIF(DATEVALUE(LEFT(N304,10)),DATEVALUE(MID(N304,15,10)),"Y")&amp;" Years, "&amp;DATEDIF(DATEVALUE(LEFT(N304,10)),DATEVALUE(MID(N304,15,10)),"YM")&amp;" Months, "&amp;DATEDIF(DATEVALUE(LEFT(N304,10)),DATEVALUE(MID(N304,15,10)),"MD")&amp;" Days")</f>
        <v>#VALUE!</v>
      </c>
      <c r="P304" s="23"/>
      <c r="Q304" s="23"/>
      <c r="R304" s="27"/>
      <c r="S304" s="27"/>
      <c r="T304" s="23">
        <v>50700069</v>
      </c>
      <c r="U304" s="28">
        <v>4320554899871</v>
      </c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 t="s">
        <v>41</v>
      </c>
      <c r="AN304" s="32" t="s">
        <v>58</v>
      </c>
      <c r="AO304" s="32" t="s">
        <v>58</v>
      </c>
      <c r="AP304" s="32" t="s">
        <v>58</v>
      </c>
      <c r="AQ304" s="23"/>
      <c r="AR304" s="23"/>
      <c r="AS304" s="23" t="str">
        <f t="shared" si="51"/>
        <v>Yes</v>
      </c>
      <c r="AT304" s="29" t="str">
        <f t="shared" si="50"/>
        <v>Yes</v>
      </c>
      <c r="AU304" s="30"/>
      <c r="AV304" s="31"/>
      <c r="AW304" s="31" t="s">
        <v>59</v>
      </c>
      <c r="AX304" s="2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</row>
    <row r="305" spans="1:74" x14ac:dyDescent="0.25">
      <c r="A305" s="25">
        <v>427</v>
      </c>
      <c r="B305" s="23" t="s">
        <v>888</v>
      </c>
      <c r="C305" s="23" t="s">
        <v>873</v>
      </c>
      <c r="D305" s="26" t="s">
        <v>889</v>
      </c>
      <c r="E305" s="23">
        <v>13</v>
      </c>
      <c r="F305" s="23" t="s">
        <v>131</v>
      </c>
      <c r="G305" s="23">
        <f>VLOOKUP(C305,[2]Sheet2!$T$3:$V$92,3,FALSE)</f>
        <v>55</v>
      </c>
      <c r="H305" s="23" t="s">
        <v>68</v>
      </c>
      <c r="I305" s="23" t="s">
        <v>55</v>
      </c>
      <c r="J305" s="23"/>
      <c r="K305" s="6">
        <v>0</v>
      </c>
      <c r="L305" s="23" t="s">
        <v>890</v>
      </c>
      <c r="M305" s="23"/>
      <c r="N305" s="23"/>
      <c r="O305" s="23" t="str">
        <f>IF(ISNUMBER(SEARCH("to", N305)),
_xlfn.LET(
    _xlpm.text_n3, N305,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305" s="23"/>
      <c r="Q305" s="23"/>
      <c r="R305" s="27"/>
      <c r="S305" s="27"/>
      <c r="T305" s="23">
        <v>10041001</v>
      </c>
      <c r="U305" s="28">
        <v>4130393044827</v>
      </c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 t="s">
        <v>40</v>
      </c>
      <c r="AN305" s="32" t="s">
        <v>58</v>
      </c>
      <c r="AO305" s="39" t="s">
        <v>58</v>
      </c>
      <c r="AP305" s="23"/>
      <c r="AQ305" s="23"/>
      <c r="AR305" s="23"/>
      <c r="AS305" s="23" t="str">
        <f>IF(AND(AN305="Yes", AO305="Yes"), "Yes", IF(AND(AN305="", AO305=""), "No", "Incomplete"))</f>
        <v>Yes</v>
      </c>
      <c r="AT305" s="29" t="str">
        <f t="shared" si="50"/>
        <v>Yes</v>
      </c>
      <c r="AU305" s="30"/>
      <c r="AV305" s="31"/>
      <c r="AW305" s="31" t="s">
        <v>59</v>
      </c>
      <c r="AX305" s="2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</row>
    <row r="306" spans="1:74" x14ac:dyDescent="0.25">
      <c r="A306" s="25">
        <v>302</v>
      </c>
      <c r="B306" s="23" t="s">
        <v>891</v>
      </c>
      <c r="C306" s="23" t="s">
        <v>873</v>
      </c>
      <c r="D306" s="26" t="s">
        <v>892</v>
      </c>
      <c r="E306" s="23">
        <v>11</v>
      </c>
      <c r="F306" s="23" t="s">
        <v>138</v>
      </c>
      <c r="G306" s="23">
        <f>VLOOKUP(C306,[2]Sheet2!$T$3:$V$92,3,FALSE)</f>
        <v>55</v>
      </c>
      <c r="H306" s="23" t="s">
        <v>68</v>
      </c>
      <c r="I306" s="23" t="s">
        <v>436</v>
      </c>
      <c r="J306" s="23"/>
      <c r="K306" s="6">
        <v>0</v>
      </c>
      <c r="L306" s="23"/>
      <c r="M306" s="23"/>
      <c r="N306" s="23"/>
      <c r="O306" s="23" t="e">
        <f t="shared" ref="O306:O312" si="52">IF(DATEVALUE(MID(N306,15,10))-DATEVALUE(LEFT(N306,10))+1&gt;=365,"1 Year",
DATEDIF(DATEVALUE(LEFT(N306,10)),DATEVALUE(MID(N306,15,10)),"Y")&amp;" Years, "&amp;DATEDIF(DATEVALUE(LEFT(N306,10)),DATEVALUE(MID(N306,15,10)),"YM")&amp;" Months, "&amp;DATEDIF(DATEVALUE(LEFT(N306,10)),DATEVALUE(MID(N306,15,10)),"MD")&amp;" Days")</f>
        <v>#VALUE!</v>
      </c>
      <c r="P306" s="23"/>
      <c r="Q306" s="23"/>
      <c r="R306" s="27"/>
      <c r="S306" s="27"/>
      <c r="T306" s="23">
        <v>50171840</v>
      </c>
      <c r="U306" s="28">
        <v>4320368369613</v>
      </c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 t="s">
        <v>42</v>
      </c>
      <c r="AN306" s="32" t="s">
        <v>58</v>
      </c>
      <c r="AO306" s="32" t="s">
        <v>58</v>
      </c>
      <c r="AP306" s="32" t="s">
        <v>58</v>
      </c>
      <c r="AQ306" s="32" t="s">
        <v>58</v>
      </c>
      <c r="AR306" s="23"/>
      <c r="AS306" s="23" t="str">
        <f t="shared" ref="AS306:AS312" si="53">IF(AND(AN306="Yes"), "Yes", IF(AND(AN306=""), "No", "Incomplete"))</f>
        <v>Yes</v>
      </c>
      <c r="AT306" s="29" t="str">
        <f t="shared" si="50"/>
        <v>Yes</v>
      </c>
      <c r="AU306" s="30"/>
      <c r="AV306" s="31"/>
      <c r="AW306" s="31" t="s">
        <v>59</v>
      </c>
      <c r="AX306" s="2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</row>
    <row r="307" spans="1:74" x14ac:dyDescent="0.25">
      <c r="A307" s="25">
        <v>303</v>
      </c>
      <c r="B307" s="23" t="s">
        <v>893</v>
      </c>
      <c r="C307" s="23" t="s">
        <v>873</v>
      </c>
      <c r="D307" s="26" t="s">
        <v>894</v>
      </c>
      <c r="E307" s="23">
        <v>11</v>
      </c>
      <c r="F307" s="23" t="s">
        <v>138</v>
      </c>
      <c r="G307" s="23">
        <f>VLOOKUP(C307,[2]Sheet2!$T$3:$V$92,3,FALSE)</f>
        <v>55</v>
      </c>
      <c r="H307" s="23" t="s">
        <v>68</v>
      </c>
      <c r="I307" s="23" t="s">
        <v>436</v>
      </c>
      <c r="J307" s="23"/>
      <c r="K307" s="6">
        <v>0</v>
      </c>
      <c r="L307" s="23"/>
      <c r="M307" s="23"/>
      <c r="N307" s="23"/>
      <c r="O307" s="23" t="e">
        <f t="shared" si="52"/>
        <v>#VALUE!</v>
      </c>
      <c r="P307" s="23"/>
      <c r="Q307" s="23"/>
      <c r="R307" s="27"/>
      <c r="S307" s="27"/>
      <c r="T307" s="23">
        <v>50350568</v>
      </c>
      <c r="U307" s="28">
        <v>4320364168201</v>
      </c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 t="s">
        <v>42</v>
      </c>
      <c r="AN307" s="32" t="s">
        <v>58</v>
      </c>
      <c r="AO307" s="32" t="s">
        <v>58</v>
      </c>
      <c r="AP307" s="32" t="s">
        <v>58</v>
      </c>
      <c r="AQ307" s="32" t="s">
        <v>58</v>
      </c>
      <c r="AR307" s="23"/>
      <c r="AS307" s="23" t="str">
        <f t="shared" si="53"/>
        <v>Yes</v>
      </c>
      <c r="AT307" s="29" t="str">
        <f>IF(AM307="Matric",IF(AN307="Yes","Yes",IF(AN307="Under Process", "Under Process","No")),IF(AM307="Inter",IF(AO307="Yes","Yes",IF(AO307="Under Process", "Under Process","No")),IF(AM307="Bachelor",IF(AP307="Yes","Yes",IF(AP307="Under Process", "Under Process","No")),IF(AM307="Master",IF(AQ307="Yes","Yes",IF(AQ307="Under Process", "Under Process","No")),IF(AM307="Vacant",IF(D291="Yes","No","Vacant"),IF(AM307="NA",IF(D291="Yes","No","NA"),"No"))))))</f>
        <v>Yes</v>
      </c>
      <c r="AU307" s="30"/>
      <c r="AV307" s="31"/>
      <c r="AW307" s="31" t="s">
        <v>59</v>
      </c>
      <c r="AX307" s="2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</row>
    <row r="308" spans="1:74" x14ac:dyDescent="0.25">
      <c r="A308" s="25">
        <v>304</v>
      </c>
      <c r="B308" s="23" t="s">
        <v>895</v>
      </c>
      <c r="C308" s="23" t="s">
        <v>873</v>
      </c>
      <c r="D308" s="26" t="s">
        <v>896</v>
      </c>
      <c r="E308" s="23">
        <v>7</v>
      </c>
      <c r="F308" s="23" t="s">
        <v>264</v>
      </c>
      <c r="G308" s="23">
        <f>VLOOKUP(C308,[2]Sheet2!$T$3:$V$92,3,FALSE)</f>
        <v>55</v>
      </c>
      <c r="H308" s="23" t="s">
        <v>68</v>
      </c>
      <c r="I308" s="23" t="s">
        <v>436</v>
      </c>
      <c r="J308" s="23"/>
      <c r="K308" s="6">
        <v>0</v>
      </c>
      <c r="L308" s="23"/>
      <c r="M308" s="23"/>
      <c r="N308" s="23"/>
      <c r="O308" s="23" t="e">
        <f t="shared" si="52"/>
        <v>#VALUE!</v>
      </c>
      <c r="P308" s="23"/>
      <c r="Q308" s="23"/>
      <c r="R308" s="27"/>
      <c r="S308" s="27"/>
      <c r="T308" s="23">
        <v>10178483</v>
      </c>
      <c r="U308" s="28">
        <v>4320321493445</v>
      </c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 t="s">
        <v>73</v>
      </c>
      <c r="AN308" s="23"/>
      <c r="AO308" s="23"/>
      <c r="AP308" s="23"/>
      <c r="AQ308" s="23"/>
      <c r="AR308" s="23"/>
      <c r="AS308" s="23" t="str">
        <f t="shared" si="53"/>
        <v>No</v>
      </c>
      <c r="AT308" s="29" t="str">
        <f t="shared" ref="AT308:AT314" si="54">IF(AM308="Matric",IF(AN308="Yes","Yes",IF(AN308="Under Process", "Under Process","No")),IF(AM308="Inter",IF(AO308="Yes","Yes",IF(AO308="Under Process", "Under Process","No")),IF(AM308="Bachelor",IF(AP308="Yes","Yes",IF(AP308="Under Process", "Under Process","No")),IF(AM308="Master",IF(AQ308="Yes","Yes",IF(AQ308="Under Process", "Under Process","No")),IF(AM308="Vacant",IF(D316="Yes","No","Vacant"),IF(AM308="NA",IF(D316="Yes","No","NA"),"No"))))))</f>
        <v>NA</v>
      </c>
      <c r="AU308" s="30"/>
      <c r="AV308" s="31"/>
      <c r="AW308" s="31" t="s">
        <v>59</v>
      </c>
      <c r="AX308" s="2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</row>
    <row r="309" spans="1:74" x14ac:dyDescent="0.25">
      <c r="A309" s="25">
        <v>305</v>
      </c>
      <c r="B309" s="23" t="s">
        <v>897</v>
      </c>
      <c r="C309" s="23" t="s">
        <v>873</v>
      </c>
      <c r="D309" s="26" t="s">
        <v>898</v>
      </c>
      <c r="E309" s="23">
        <v>5</v>
      </c>
      <c r="F309" s="23" t="s">
        <v>71</v>
      </c>
      <c r="G309" s="23">
        <f>VLOOKUP(C309,[2]Sheet2!$T$3:$V$92,3,FALSE)</f>
        <v>55</v>
      </c>
      <c r="H309" s="23" t="s">
        <v>68</v>
      </c>
      <c r="I309" s="23" t="s">
        <v>436</v>
      </c>
      <c r="J309" s="23"/>
      <c r="K309" s="6">
        <v>0</v>
      </c>
      <c r="L309" s="23"/>
      <c r="M309" s="23"/>
      <c r="N309" s="23"/>
      <c r="O309" s="23" t="e">
        <f t="shared" si="52"/>
        <v>#VALUE!</v>
      </c>
      <c r="P309" s="23"/>
      <c r="Q309" s="23"/>
      <c r="R309" s="27"/>
      <c r="S309" s="27"/>
      <c r="T309" s="23">
        <v>10179669</v>
      </c>
      <c r="U309" s="28">
        <v>4320234885869</v>
      </c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 t="s">
        <v>73</v>
      </c>
      <c r="AN309" s="23"/>
      <c r="AO309" s="23"/>
      <c r="AP309" s="23"/>
      <c r="AQ309" s="23"/>
      <c r="AR309" s="23"/>
      <c r="AS309" s="23" t="str">
        <f t="shared" si="53"/>
        <v>No</v>
      </c>
      <c r="AT309" s="29" t="str">
        <f t="shared" si="54"/>
        <v>NA</v>
      </c>
      <c r="AU309" s="30"/>
      <c r="AV309" s="31"/>
      <c r="AW309" s="31" t="s">
        <v>59</v>
      </c>
      <c r="AX309" s="2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</row>
    <row r="310" spans="1:74" x14ac:dyDescent="0.25">
      <c r="A310" s="25">
        <v>306</v>
      </c>
      <c r="B310" s="23" t="s">
        <v>899</v>
      </c>
      <c r="C310" s="23" t="s">
        <v>873</v>
      </c>
      <c r="D310" s="26" t="s">
        <v>900</v>
      </c>
      <c r="E310" s="23">
        <v>5</v>
      </c>
      <c r="F310" s="23" t="s">
        <v>71</v>
      </c>
      <c r="G310" s="23">
        <f>VLOOKUP(C310,[2]Sheet2!$T$3:$V$92,3,FALSE)</f>
        <v>55</v>
      </c>
      <c r="H310" s="23" t="s">
        <v>68</v>
      </c>
      <c r="I310" s="23" t="s">
        <v>436</v>
      </c>
      <c r="J310" s="23"/>
      <c r="K310" s="6">
        <v>0</v>
      </c>
      <c r="L310" s="23"/>
      <c r="M310" s="23"/>
      <c r="N310" s="23"/>
      <c r="O310" s="23" t="e">
        <f t="shared" si="52"/>
        <v>#VALUE!</v>
      </c>
      <c r="P310" s="23"/>
      <c r="Q310" s="23" t="s">
        <v>901</v>
      </c>
      <c r="R310" s="27"/>
      <c r="S310" s="27"/>
      <c r="T310" s="23">
        <v>10474241</v>
      </c>
      <c r="U310" s="28">
        <v>4320304141983</v>
      </c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 t="s">
        <v>73</v>
      </c>
      <c r="AN310" s="23"/>
      <c r="AO310" s="23"/>
      <c r="AP310" s="23"/>
      <c r="AQ310" s="23"/>
      <c r="AR310" s="23"/>
      <c r="AS310" s="23" t="str">
        <f t="shared" si="53"/>
        <v>No</v>
      </c>
      <c r="AT310" s="29" t="str">
        <f t="shared" si="54"/>
        <v>NA</v>
      </c>
      <c r="AU310" s="30"/>
      <c r="AV310" s="31"/>
      <c r="AW310" s="31" t="s">
        <v>59</v>
      </c>
      <c r="AX310" s="2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</row>
    <row r="311" spans="1:74" x14ac:dyDescent="0.25">
      <c r="A311" s="25">
        <v>307</v>
      </c>
      <c r="B311" s="23" t="s">
        <v>902</v>
      </c>
      <c r="C311" s="23" t="s">
        <v>873</v>
      </c>
      <c r="D311" s="26" t="s">
        <v>903</v>
      </c>
      <c r="E311" s="23">
        <v>4</v>
      </c>
      <c r="F311" s="23" t="s">
        <v>161</v>
      </c>
      <c r="G311" s="23">
        <f>VLOOKUP(C311,[2]Sheet2!$T$3:$V$92,3,FALSE)</f>
        <v>55</v>
      </c>
      <c r="H311" s="23" t="s">
        <v>68</v>
      </c>
      <c r="I311" s="23" t="s">
        <v>436</v>
      </c>
      <c r="J311" s="23"/>
      <c r="K311" s="6">
        <v>0</v>
      </c>
      <c r="L311" s="23"/>
      <c r="M311" s="63" t="s">
        <v>302</v>
      </c>
      <c r="N311" s="63"/>
      <c r="O311" s="23" t="e">
        <f t="shared" si="52"/>
        <v>#VALUE!</v>
      </c>
      <c r="P311" s="63"/>
      <c r="Q311" s="63"/>
      <c r="R311" s="64">
        <v>41456</v>
      </c>
      <c r="S311" s="64">
        <v>44508</v>
      </c>
      <c r="T311" s="23">
        <v>50187584</v>
      </c>
      <c r="U311" s="28">
        <v>4530102452529</v>
      </c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 t="s">
        <v>40</v>
      </c>
      <c r="AN311" s="23" t="s">
        <v>58</v>
      </c>
      <c r="AO311" s="23" t="s">
        <v>58</v>
      </c>
      <c r="AP311" s="23"/>
      <c r="AQ311" s="23"/>
      <c r="AR311" s="23"/>
      <c r="AS311" s="23" t="str">
        <f t="shared" si="53"/>
        <v>Yes</v>
      </c>
      <c r="AT311" s="29" t="str">
        <f t="shared" si="54"/>
        <v>Yes</v>
      </c>
      <c r="AU311" s="30"/>
      <c r="AV311" s="31"/>
      <c r="AW311" s="31" t="s">
        <v>59</v>
      </c>
      <c r="AX311" s="2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</row>
    <row r="312" spans="1:74" x14ac:dyDescent="0.25">
      <c r="A312" s="25">
        <v>308</v>
      </c>
      <c r="B312" s="23" t="s">
        <v>904</v>
      </c>
      <c r="C312" s="23" t="s">
        <v>873</v>
      </c>
      <c r="D312" s="26" t="s">
        <v>66</v>
      </c>
      <c r="E312" s="23">
        <v>4</v>
      </c>
      <c r="F312" s="23" t="s">
        <v>161</v>
      </c>
      <c r="G312" s="23">
        <f>VLOOKUP(C312,[2]Sheet2!$T$3:$V$92,3,FALSE)</f>
        <v>55</v>
      </c>
      <c r="H312" s="23" t="s">
        <v>68</v>
      </c>
      <c r="I312" s="23" t="s">
        <v>436</v>
      </c>
      <c r="J312" s="23"/>
      <c r="K312" s="6">
        <v>0</v>
      </c>
      <c r="L312" s="23"/>
      <c r="M312" s="23"/>
      <c r="N312" s="23"/>
      <c r="O312" s="23" t="e">
        <f t="shared" si="52"/>
        <v>#VALUE!</v>
      </c>
      <c r="P312" s="23"/>
      <c r="Q312" s="23"/>
      <c r="R312" s="27"/>
      <c r="S312" s="27"/>
      <c r="T312" s="23"/>
      <c r="U312" s="28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 t="s">
        <v>66</v>
      </c>
      <c r="AN312" s="23"/>
      <c r="AO312" s="23"/>
      <c r="AP312" s="23"/>
      <c r="AQ312" s="23"/>
      <c r="AR312" s="23"/>
      <c r="AS312" s="23" t="str">
        <f t="shared" si="53"/>
        <v>No</v>
      </c>
      <c r="AT312" s="29" t="str">
        <f t="shared" si="54"/>
        <v>Vacant</v>
      </c>
      <c r="AU312" s="30"/>
      <c r="AV312" s="31"/>
      <c r="AW312" s="31"/>
      <c r="AX312" s="2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</row>
    <row r="313" spans="1:74" ht="42.75" x14ac:dyDescent="0.25">
      <c r="A313" s="25">
        <v>309</v>
      </c>
      <c r="B313" s="23" t="s">
        <v>905</v>
      </c>
      <c r="C313" s="23" t="s">
        <v>906</v>
      </c>
      <c r="D313" s="26" t="s">
        <v>907</v>
      </c>
      <c r="E313" s="23">
        <v>18</v>
      </c>
      <c r="F313" s="23" t="s">
        <v>440</v>
      </c>
      <c r="G313" s="23">
        <f>VLOOKUP(C313,[2]Sheet2!$T$3:$V$92,3,FALSE)</f>
        <v>56</v>
      </c>
      <c r="H313" s="23" t="s">
        <v>54</v>
      </c>
      <c r="I313" s="23" t="s">
        <v>436</v>
      </c>
      <c r="J313" s="23"/>
      <c r="L313" s="23"/>
      <c r="M313" s="23"/>
      <c r="N313" s="23" t="s">
        <v>908</v>
      </c>
      <c r="O313" s="23" t="e">
        <f ca="1">IF(ISNUMBER(SEARCH("to", N313)),
_xlfn.LET(
    _xlpm.text_n3, N313,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13" s="23"/>
      <c r="Q313" s="23" t="s">
        <v>57</v>
      </c>
      <c r="R313" s="27"/>
      <c r="S313" s="27"/>
      <c r="T313" s="23">
        <v>10362270</v>
      </c>
      <c r="U313" s="28">
        <v>4520306721629</v>
      </c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 t="s">
        <v>42</v>
      </c>
      <c r="AN313" s="23" t="s">
        <v>58</v>
      </c>
      <c r="AO313" s="23" t="s">
        <v>58</v>
      </c>
      <c r="AP313" s="32" t="s">
        <v>58</v>
      </c>
      <c r="AQ313" s="32" t="s">
        <v>58</v>
      </c>
      <c r="AR313" s="23"/>
      <c r="AS313" s="23" t="str">
        <f>IF(AND(AN313="Yes", AO313="Yes", AP313="Yes"), "Yes", IF(AND(AN313="", AO313="", AP313=""), "No", "Incomplete"))</f>
        <v>Yes</v>
      </c>
      <c r="AT313" s="29" t="str">
        <f t="shared" si="54"/>
        <v>Yes</v>
      </c>
      <c r="AU313" s="30"/>
      <c r="AV313" s="31"/>
      <c r="AW313" s="31" t="s">
        <v>59</v>
      </c>
      <c r="AX313" s="2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</row>
    <row r="314" spans="1:74" ht="28.5" x14ac:dyDescent="0.25">
      <c r="A314" s="25">
        <v>310</v>
      </c>
      <c r="B314" s="23" t="s">
        <v>909</v>
      </c>
      <c r="C314" s="23" t="s">
        <v>906</v>
      </c>
      <c r="D314" s="26" t="s">
        <v>910</v>
      </c>
      <c r="E314" s="23">
        <v>17</v>
      </c>
      <c r="F314" s="23" t="s">
        <v>586</v>
      </c>
      <c r="G314" s="23">
        <f>VLOOKUP(C314,[2]Sheet2!$T$3:$V$92,3,FALSE)</f>
        <v>56</v>
      </c>
      <c r="H314" s="23" t="s">
        <v>54</v>
      </c>
      <c r="I314" s="23" t="s">
        <v>436</v>
      </c>
      <c r="J314" s="23"/>
      <c r="L314" s="23"/>
      <c r="M314" s="23"/>
      <c r="N314" s="23" t="s">
        <v>911</v>
      </c>
      <c r="O314" s="23" t="e">
        <f ca="1">IF(ISNUMBER(SEARCH("to", N314)),
_xlfn.LET(
    _xlpm.text_n3, N314,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14" s="23"/>
      <c r="Q314" s="23" t="s">
        <v>57</v>
      </c>
      <c r="R314" s="27"/>
      <c r="S314" s="27"/>
      <c r="T314" s="23">
        <v>5062309</v>
      </c>
      <c r="U314" s="28">
        <v>4340604205431</v>
      </c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 t="s">
        <v>41</v>
      </c>
      <c r="AN314" s="23"/>
      <c r="AO314" s="23"/>
      <c r="AP314" s="23" t="s">
        <v>58</v>
      </c>
      <c r="AQ314" s="23"/>
      <c r="AR314" s="23"/>
      <c r="AS314" s="23" t="str">
        <f>IF(AND(AN314="Yes", AO314="Yes", AP314="Yes"), "Yes", IF(AND(AN314="", AO314="", AP314=""), "No", "Incomplete"))</f>
        <v>Incomplete</v>
      </c>
      <c r="AT314" s="29" t="str">
        <f t="shared" si="54"/>
        <v>Yes</v>
      </c>
      <c r="AU314" s="30"/>
      <c r="AV314" s="31"/>
      <c r="AW314" s="31" t="s">
        <v>59</v>
      </c>
      <c r="AX314" s="2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</row>
    <row r="315" spans="1:74" x14ac:dyDescent="0.25">
      <c r="A315" s="25">
        <v>311</v>
      </c>
      <c r="B315" s="23" t="s">
        <v>912</v>
      </c>
      <c r="C315" s="23" t="s">
        <v>906</v>
      </c>
      <c r="D315" s="4" t="s">
        <v>66</v>
      </c>
      <c r="E315" s="1">
        <v>15</v>
      </c>
      <c r="F315" s="1" t="s">
        <v>67</v>
      </c>
      <c r="G315" s="23">
        <f>VLOOKUP(C315,[2]Sheet2!$T$3:$V$92,3,FALSE)</f>
        <v>56</v>
      </c>
      <c r="H315" s="23" t="s">
        <v>68</v>
      </c>
      <c r="I315" s="23" t="s">
        <v>436</v>
      </c>
      <c r="J315" s="2"/>
      <c r="K315" s="6">
        <v>0</v>
      </c>
      <c r="L315" s="2"/>
      <c r="M315" s="1"/>
      <c r="N315" s="1"/>
      <c r="O315" s="23" t="e">
        <f t="shared" ref="O315:O325" si="55">IF(DATEVALUE(MID(N315,15,10))-DATEVALUE(LEFT(N315,10))+1&gt;=365,"1 Year",
DATEDIF(DATEVALUE(LEFT(N315,10)),DATEVALUE(MID(N315,15,10)),"Y")&amp;" Years, "&amp;DATEDIF(DATEVALUE(LEFT(N315,10)),DATEVALUE(MID(N315,15,10)),"YM")&amp;" Months, "&amp;DATEDIF(DATEVALUE(LEFT(N315,10)),DATEVALUE(MID(N315,15,10)),"MD")&amp;" Days")</f>
        <v>#VALUE!</v>
      </c>
      <c r="P315" s="1"/>
      <c r="Q315" s="1"/>
      <c r="S315" s="49"/>
      <c r="T315" s="1"/>
      <c r="U315" s="58"/>
      <c r="V315" s="4"/>
      <c r="W315" s="59"/>
      <c r="X315"/>
      <c r="Y315"/>
      <c r="Z315" s="58"/>
      <c r="AA315"/>
      <c r="AC315" s="60"/>
      <c r="AG315"/>
      <c r="AI315" s="58"/>
      <c r="AK315" s="58"/>
      <c r="AL315"/>
      <c r="AM315"/>
      <c r="AO315" s="60"/>
      <c r="AQ315" s="60"/>
      <c r="AS315"/>
      <c r="AU315" s="49"/>
      <c r="AV315" s="49"/>
      <c r="AW315" s="49"/>
      <c r="AX315" s="49"/>
      <c r="BA315" s="58"/>
      <c r="BB315" s="58"/>
      <c r="BC315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</row>
    <row r="316" spans="1:74" ht="28.5" x14ac:dyDescent="0.25">
      <c r="A316" s="25">
        <v>312</v>
      </c>
      <c r="B316" s="23" t="s">
        <v>913</v>
      </c>
      <c r="C316" s="23" t="s">
        <v>906</v>
      </c>
      <c r="D316" s="26" t="s">
        <v>914</v>
      </c>
      <c r="E316" s="23">
        <v>15</v>
      </c>
      <c r="F316" s="23" t="s">
        <v>108</v>
      </c>
      <c r="G316" s="23">
        <f>VLOOKUP(C316,[2]Sheet2!$T$3:$V$92,3,FALSE)</f>
        <v>56</v>
      </c>
      <c r="H316" s="23" t="s">
        <v>68</v>
      </c>
      <c r="I316" s="23" t="s">
        <v>436</v>
      </c>
      <c r="J316" s="23"/>
      <c r="K316" s="6">
        <v>0</v>
      </c>
      <c r="L316" s="23"/>
      <c r="M316" s="23"/>
      <c r="N316" s="23" t="s">
        <v>95</v>
      </c>
      <c r="O316" s="23" t="str">
        <f t="shared" si="55"/>
        <v>1 Year</v>
      </c>
      <c r="P316" s="23" t="s">
        <v>677</v>
      </c>
      <c r="Q316" s="23" t="s">
        <v>646</v>
      </c>
      <c r="R316" s="27"/>
      <c r="S316" s="27"/>
      <c r="T316" s="23">
        <v>50190858</v>
      </c>
      <c r="U316" s="28">
        <v>4310264934129</v>
      </c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 t="s">
        <v>42</v>
      </c>
      <c r="AN316" s="32" t="s">
        <v>58</v>
      </c>
      <c r="AO316" s="32" t="s">
        <v>58</v>
      </c>
      <c r="AP316" s="23" t="s">
        <v>58</v>
      </c>
      <c r="AQ316" s="23" t="s">
        <v>58</v>
      </c>
      <c r="AR316" s="23"/>
      <c r="AS316" s="23" t="str">
        <f>IF(AND(AN316="Yes", AO316="Yes", AP316="Yes"), "Yes", IF(AND(AN316="", AO316="", AP316=""), "No", "Incomplete"))</f>
        <v>Yes</v>
      </c>
      <c r="AT316" s="29" t="str">
        <f>IF(AM316="Matric",IF(AN316="Yes","Yes",IF(AN316="Under Process", "Under Process","No")),IF(AM316="Inter",IF(AO316="Yes","Yes",IF(AO316="Under Process", "Under Process","No")),IF(AM316="Bachelor",IF(AP316="Yes","Yes",IF(AP316="Under Process", "Under Process","No")),IF(AM316="Master",IF(AQ316="Yes","Yes",IF(AQ316="Under Process", "Under Process","No")),IF(AM316="Vacant",IF(D324="Yes","No","Vacant"),IF(AM316="NA",IF(D324="Yes","No","NA"),"No"))))))</f>
        <v>Yes</v>
      </c>
      <c r="AU316" s="30"/>
      <c r="AV316" s="31"/>
      <c r="AW316" s="31" t="s">
        <v>59</v>
      </c>
      <c r="AX316" s="2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</row>
    <row r="317" spans="1:74" ht="28.5" x14ac:dyDescent="0.25">
      <c r="A317" s="25">
        <v>313</v>
      </c>
      <c r="B317" s="23" t="s">
        <v>915</v>
      </c>
      <c r="C317" s="23" t="s">
        <v>906</v>
      </c>
      <c r="D317" s="26" t="s">
        <v>916</v>
      </c>
      <c r="E317" s="23">
        <v>14</v>
      </c>
      <c r="F317" s="23" t="s">
        <v>108</v>
      </c>
      <c r="G317" s="23">
        <f>VLOOKUP(C317,[2]Sheet2!$T$3:$V$92,3,FALSE)</f>
        <v>56</v>
      </c>
      <c r="H317" s="23" t="s">
        <v>68</v>
      </c>
      <c r="I317" s="23" t="s">
        <v>436</v>
      </c>
      <c r="J317" s="23"/>
      <c r="K317" s="6">
        <v>0</v>
      </c>
      <c r="L317" s="23"/>
      <c r="M317" s="23"/>
      <c r="N317" s="23" t="s">
        <v>95</v>
      </c>
      <c r="O317" s="23" t="str">
        <f t="shared" si="55"/>
        <v>1 Year</v>
      </c>
      <c r="P317" s="23" t="s">
        <v>917</v>
      </c>
      <c r="Q317" s="23" t="s">
        <v>646</v>
      </c>
      <c r="R317" s="27"/>
      <c r="S317" s="27"/>
      <c r="T317" s="23">
        <v>50751239</v>
      </c>
      <c r="U317" s="28">
        <v>4320512794419</v>
      </c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 t="s">
        <v>41</v>
      </c>
      <c r="AN317" s="23" t="s">
        <v>58</v>
      </c>
      <c r="AO317" s="23" t="s">
        <v>58</v>
      </c>
      <c r="AP317" s="23" t="s">
        <v>58</v>
      </c>
      <c r="AQ317" s="23"/>
      <c r="AR317" s="23"/>
      <c r="AS317" s="23" t="str">
        <f>IF(AND(AN317="Yes", AO317="Yes", AP317="Yes"), "Yes", IF(AND(AN317="", AO317="", AP317=""), "No", "Incomplete"))</f>
        <v>Yes</v>
      </c>
      <c r="AT317" s="29" t="str">
        <f>IF(AM317="Matric",IF(AN317="Yes","Yes",IF(AN317="Under Process", "Under Process","No")),IF(AM317="Inter",IF(AO317="Yes","Yes",IF(AO317="Under Process", "Under Process","No")),IF(AM317="Bachelor",IF(AP317="Yes","Yes",IF(AP317="Under Process", "Under Process","No")),IF(AM317="Master",IF(AQ317="Yes","Yes",IF(AQ317="Under Process", "Under Process","No")),IF(AM317="Vacant",IF(D325="Yes","No","Vacant"),IF(AM317="NA",IF(D325="Yes","No","NA"),"No"))))))</f>
        <v>Yes</v>
      </c>
      <c r="AU317" s="30"/>
      <c r="AV317" s="31"/>
      <c r="AW317" s="31" t="s">
        <v>59</v>
      </c>
      <c r="AX317" s="2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</row>
    <row r="318" spans="1:74" ht="28.5" x14ac:dyDescent="0.25">
      <c r="A318" s="25">
        <v>314</v>
      </c>
      <c r="B318" s="23" t="s">
        <v>918</v>
      </c>
      <c r="C318" s="23" t="s">
        <v>906</v>
      </c>
      <c r="D318" s="26" t="s">
        <v>919</v>
      </c>
      <c r="E318" s="23">
        <v>13</v>
      </c>
      <c r="F318" s="23" t="s">
        <v>131</v>
      </c>
      <c r="G318" s="23">
        <f>VLOOKUP(C318,[2]Sheet2!$T$3:$V$92,3,FALSE)</f>
        <v>56</v>
      </c>
      <c r="H318" s="23" t="s">
        <v>68</v>
      </c>
      <c r="I318" s="23" t="s">
        <v>436</v>
      </c>
      <c r="J318" s="23"/>
      <c r="K318" s="6">
        <v>0</v>
      </c>
      <c r="L318" s="23"/>
      <c r="M318" s="23"/>
      <c r="N318" s="23" t="s">
        <v>95</v>
      </c>
      <c r="O318" s="23" t="str">
        <f t="shared" si="55"/>
        <v>1 Year</v>
      </c>
      <c r="P318" s="23" t="s">
        <v>96</v>
      </c>
      <c r="Q318" s="23" t="s">
        <v>812</v>
      </c>
      <c r="R318" s="27"/>
      <c r="S318" s="27"/>
      <c r="T318" s="23">
        <v>10455033</v>
      </c>
      <c r="U318" s="28">
        <v>4330441088065</v>
      </c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 t="s">
        <v>41</v>
      </c>
      <c r="AN318" s="32" t="s">
        <v>58</v>
      </c>
      <c r="AO318" s="32" t="s">
        <v>58</v>
      </c>
      <c r="AP318" s="32" t="s">
        <v>58</v>
      </c>
      <c r="AQ318" s="23"/>
      <c r="AR318" s="23"/>
      <c r="AS318" s="23" t="str">
        <f>IF(AND(AN318="Yes", AO318="Yes"), "Yes", IF(AND(AN318="", AO318=""), "No", "Incomplete"))</f>
        <v>Yes</v>
      </c>
      <c r="AT318" s="29" t="str">
        <f>IF(AM318="Matric",IF(AN318="Yes","Yes",IF(AN318="Under Process", "Under Process","No")),IF(AM318="Inter",IF(AO318="Yes","Yes",IF(AO318="Under Process", "Under Process","No")),IF(AM318="Bachelor",IF(AP318="Yes","Yes",IF(AP318="Under Process", "Under Process","No")),IF(AM318="Master",IF(AQ318="Yes","Yes",IF(AQ318="Under Process", "Under Process","No")),IF(AM318="Vacant",IF(D326="Yes","No","Vacant"),IF(AM318="NA",IF(D326="Yes","No","NA"),"No"))))))</f>
        <v>Yes</v>
      </c>
      <c r="AU318" s="30"/>
      <c r="AV318" s="31"/>
      <c r="AW318" s="31" t="s">
        <v>59</v>
      </c>
      <c r="AX318" s="2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</row>
    <row r="319" spans="1:74" ht="28.5" x14ac:dyDescent="0.25">
      <c r="A319" s="25">
        <v>315</v>
      </c>
      <c r="B319" s="23" t="s">
        <v>920</v>
      </c>
      <c r="C319" s="23" t="s">
        <v>906</v>
      </c>
      <c r="D319" s="26" t="s">
        <v>921</v>
      </c>
      <c r="E319" s="23">
        <v>11</v>
      </c>
      <c r="F319" s="23" t="s">
        <v>138</v>
      </c>
      <c r="G319" s="23">
        <f>VLOOKUP(C319,[2]Sheet2!$T$3:$V$92,3,FALSE)</f>
        <v>56</v>
      </c>
      <c r="H319" s="23" t="s">
        <v>68</v>
      </c>
      <c r="I319" s="23" t="s">
        <v>436</v>
      </c>
      <c r="J319" s="23"/>
      <c r="K319" s="6">
        <v>0</v>
      </c>
      <c r="L319" s="23"/>
      <c r="M319" s="23"/>
      <c r="N319" s="23" t="s">
        <v>95</v>
      </c>
      <c r="O319" s="23" t="str">
        <f t="shared" si="55"/>
        <v>1 Year</v>
      </c>
      <c r="P319" s="23" t="s">
        <v>922</v>
      </c>
      <c r="Q319" s="23" t="s">
        <v>812</v>
      </c>
      <c r="R319" s="27"/>
      <c r="S319" s="27"/>
      <c r="T319" s="23">
        <v>50181152</v>
      </c>
      <c r="U319" s="28">
        <v>4310210091765</v>
      </c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 t="s">
        <v>42</v>
      </c>
      <c r="AN319" s="32" t="s">
        <v>58</v>
      </c>
      <c r="AO319" s="32" t="s">
        <v>58</v>
      </c>
      <c r="AP319" s="32" t="s">
        <v>58</v>
      </c>
      <c r="AQ319" s="23" t="s">
        <v>121</v>
      </c>
      <c r="AR319" s="23"/>
      <c r="AS319" s="23" t="str">
        <f t="shared" ref="AS319:AS325" si="56">IF(AND(AN319="Yes"), "Yes", IF(AND(AN319=""), "No", "Incomplete"))</f>
        <v>Yes</v>
      </c>
      <c r="AT319" s="29" t="str">
        <f>IF(AM319="Matric",IF(AN319="Yes","Yes",IF(AN319="Under Process", "Under Process","No")),IF(AM319="Inter",IF(AO319="Yes","Yes",IF(AO319="Under Process", "Under Process","No")),IF(AM319="Bachelor",IF(AP319="Yes","Yes",IF(AP319="Under Process", "Under Process","No")),IF(AM319="Master",IF(AQ319="Yes","Yes",IF(AQ319="Under Process", "Under Process","No")),IF(AM319="Vacant",IF(D621="Yes","No","Vacant"),IF(AM319="NA",IF(D621="Yes","No","NA"),"No"))))))</f>
        <v>Under Process</v>
      </c>
      <c r="AU319" s="30"/>
      <c r="AV319" s="31"/>
      <c r="AW319" s="31" t="s">
        <v>59</v>
      </c>
      <c r="AX319" s="2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</row>
    <row r="320" spans="1:74" x14ac:dyDescent="0.25">
      <c r="A320" s="25">
        <v>316</v>
      </c>
      <c r="B320" s="23" t="s">
        <v>923</v>
      </c>
      <c r="C320" s="23" t="s">
        <v>906</v>
      </c>
      <c r="D320" s="26" t="s">
        <v>924</v>
      </c>
      <c r="E320" s="23">
        <v>11</v>
      </c>
      <c r="F320" s="23" t="s">
        <v>138</v>
      </c>
      <c r="G320" s="23">
        <f>VLOOKUP(C320,[2]Sheet2!$T$3:$V$92,3,FALSE)</f>
        <v>56</v>
      </c>
      <c r="H320" s="23" t="s">
        <v>68</v>
      </c>
      <c r="I320" s="23" t="s">
        <v>436</v>
      </c>
      <c r="J320" s="23"/>
      <c r="K320" s="6">
        <v>0</v>
      </c>
      <c r="L320" s="23"/>
      <c r="M320" s="23"/>
      <c r="N320" s="23">
        <v>1</v>
      </c>
      <c r="O320" s="23" t="e">
        <f t="shared" si="55"/>
        <v>#VALUE!</v>
      </c>
      <c r="P320" s="23"/>
      <c r="Q320" s="23"/>
      <c r="R320" s="27"/>
      <c r="S320" s="27"/>
      <c r="T320" s="23">
        <v>50348449</v>
      </c>
      <c r="U320" s="28">
        <v>4310264933179</v>
      </c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 t="s">
        <v>40</v>
      </c>
      <c r="AN320" s="32" t="s">
        <v>58</v>
      </c>
      <c r="AO320" s="23" t="s">
        <v>58</v>
      </c>
      <c r="AP320" s="23"/>
      <c r="AQ320" s="23"/>
      <c r="AR320" s="23"/>
      <c r="AS320" s="23" t="str">
        <f t="shared" si="56"/>
        <v>Yes</v>
      </c>
      <c r="AT320" s="29" t="str">
        <f>IF(AM320="Matric",IF(AN320="Yes","Yes",IF(AN320="Under Process", "Under Process","No")),IF(AM320="Inter",IF(AO320="Yes","Yes",IF(AO320="Under Process", "Under Process","No")),IF(AM320="Bachelor",IF(AP320="Yes","Yes",IF(AP320="Under Process", "Under Process","No")),IF(AM320="Master",IF(AQ320="Yes","Yes",IF(AQ320="Under Process", "Under Process","No")),IF(AM320="Vacant",IF(D171="Yes","No","Vacant"),IF(AM320="NA",IF(D171="Yes","No","NA"),"No"))))))</f>
        <v>Yes</v>
      </c>
      <c r="AU320" s="30"/>
      <c r="AV320" s="31"/>
      <c r="AW320" s="31" t="s">
        <v>59</v>
      </c>
      <c r="AX320" s="2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</row>
    <row r="321" spans="1:74" x14ac:dyDescent="0.25">
      <c r="A321" s="25">
        <v>317</v>
      </c>
      <c r="B321" s="23" t="s">
        <v>925</v>
      </c>
      <c r="C321" s="23" t="s">
        <v>906</v>
      </c>
      <c r="D321" s="26" t="s">
        <v>926</v>
      </c>
      <c r="E321" s="23">
        <v>7</v>
      </c>
      <c r="F321" s="23" t="s">
        <v>264</v>
      </c>
      <c r="G321" s="23">
        <f>VLOOKUP(C321,[2]Sheet2!$T$3:$V$92,3,FALSE)</f>
        <v>56</v>
      </c>
      <c r="H321" s="23" t="s">
        <v>68</v>
      </c>
      <c r="I321" s="23" t="s">
        <v>436</v>
      </c>
      <c r="J321" s="23"/>
      <c r="K321" s="6">
        <v>0</v>
      </c>
      <c r="L321" s="23"/>
      <c r="M321" s="23"/>
      <c r="N321" s="23"/>
      <c r="O321" s="23" t="e">
        <f t="shared" si="55"/>
        <v>#VALUE!</v>
      </c>
      <c r="P321" s="23"/>
      <c r="Q321" s="23"/>
      <c r="R321" s="27"/>
      <c r="S321" s="27"/>
      <c r="T321" s="23">
        <v>50339178</v>
      </c>
      <c r="U321" s="28">
        <v>4310234875813</v>
      </c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 t="s">
        <v>73</v>
      </c>
      <c r="AN321" s="23"/>
      <c r="AO321" s="23"/>
      <c r="AP321" s="23"/>
      <c r="AQ321" s="23"/>
      <c r="AR321" s="23"/>
      <c r="AS321" s="23" t="str">
        <f t="shared" si="56"/>
        <v>No</v>
      </c>
      <c r="AT321" s="29" t="str">
        <f t="shared" ref="AT321:AT327" si="57">IF(AM321="Matric",IF(AN321="Yes","Yes",IF(AN321="Under Process", "Under Process","No")),IF(AM321="Inter",IF(AO321="Yes","Yes",IF(AO321="Under Process", "Under Process","No")),IF(AM321="Bachelor",IF(AP321="Yes","Yes",IF(AP321="Under Process", "Under Process","No")),IF(AM321="Master",IF(AQ321="Yes","Yes",IF(AQ321="Under Process", "Under Process","No")),IF(AM321="Vacant",IF(D329="Yes","No","Vacant"),IF(AM321="NA",IF(D329="Yes","No","NA"),"No"))))))</f>
        <v>NA</v>
      </c>
      <c r="AU321" s="30"/>
      <c r="AV321" s="31"/>
      <c r="AW321" s="31" t="s">
        <v>59</v>
      </c>
      <c r="AX321" s="2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</row>
    <row r="322" spans="1:74" x14ac:dyDescent="0.25">
      <c r="A322" s="25">
        <v>319</v>
      </c>
      <c r="B322" s="23" t="s">
        <v>927</v>
      </c>
      <c r="C322" s="23" t="s">
        <v>906</v>
      </c>
      <c r="D322" s="26" t="s">
        <v>928</v>
      </c>
      <c r="E322" s="23">
        <v>5</v>
      </c>
      <c r="F322" s="23" t="s">
        <v>71</v>
      </c>
      <c r="G322" s="23">
        <f>VLOOKUP(C322,[2]Sheet2!$T$3:$V$92,3,FALSE)</f>
        <v>56</v>
      </c>
      <c r="H322" s="23" t="s">
        <v>68</v>
      </c>
      <c r="I322" s="23" t="s">
        <v>436</v>
      </c>
      <c r="J322" s="23"/>
      <c r="K322" s="6">
        <v>0</v>
      </c>
      <c r="L322" s="23"/>
      <c r="M322" s="23"/>
      <c r="N322" s="23"/>
      <c r="O322" s="23" t="e">
        <f t="shared" si="55"/>
        <v>#VALUE!</v>
      </c>
      <c r="P322" s="23"/>
      <c r="Q322" s="23"/>
      <c r="R322" s="27"/>
      <c r="S322" s="27"/>
      <c r="T322" s="23">
        <v>10427113</v>
      </c>
      <c r="U322" s="28">
        <v>4310223931493</v>
      </c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 t="s">
        <v>41</v>
      </c>
      <c r="AN322" s="32" t="s">
        <v>58</v>
      </c>
      <c r="AO322" s="32" t="s">
        <v>58</v>
      </c>
      <c r="AP322" s="32" t="s">
        <v>58</v>
      </c>
      <c r="AQ322" s="23"/>
      <c r="AR322" s="23"/>
      <c r="AS322" s="23" t="str">
        <f t="shared" si="56"/>
        <v>Yes</v>
      </c>
      <c r="AT322" s="29" t="str">
        <f t="shared" si="57"/>
        <v>Yes</v>
      </c>
      <c r="AU322" s="30"/>
      <c r="AV322" s="31"/>
      <c r="AW322" s="31" t="s">
        <v>59</v>
      </c>
      <c r="AX322" s="2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</row>
    <row r="323" spans="1:74" x14ac:dyDescent="0.25">
      <c r="A323" s="25">
        <v>318</v>
      </c>
      <c r="B323" s="23" t="s">
        <v>929</v>
      </c>
      <c r="C323" s="23" t="s">
        <v>906</v>
      </c>
      <c r="D323" s="26" t="s">
        <v>930</v>
      </c>
      <c r="E323" s="23">
        <v>5</v>
      </c>
      <c r="F323" s="23" t="s">
        <v>161</v>
      </c>
      <c r="G323" s="23">
        <f>VLOOKUP(C323,[2]Sheet2!$T$3:$V$92,3,FALSE)</f>
        <v>56</v>
      </c>
      <c r="H323" s="23" t="s">
        <v>68</v>
      </c>
      <c r="I323" s="23" t="s">
        <v>436</v>
      </c>
      <c r="J323" s="23"/>
      <c r="K323" s="6">
        <v>0</v>
      </c>
      <c r="L323" s="23"/>
      <c r="M323" s="63" t="s">
        <v>931</v>
      </c>
      <c r="N323" s="63"/>
      <c r="O323" s="23" t="e">
        <f t="shared" si="55"/>
        <v>#VALUE!</v>
      </c>
      <c r="P323" s="63"/>
      <c r="Q323" s="63"/>
      <c r="R323" s="64">
        <v>38236</v>
      </c>
      <c r="S323" s="64">
        <v>38236</v>
      </c>
      <c r="T323" s="23">
        <v>10427115</v>
      </c>
      <c r="U323" s="28">
        <v>4330476674649</v>
      </c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 t="s">
        <v>73</v>
      </c>
      <c r="AN323" s="23"/>
      <c r="AO323" s="23"/>
      <c r="AP323" s="23"/>
      <c r="AQ323" s="23"/>
      <c r="AR323" s="23"/>
      <c r="AS323" s="23" t="str">
        <f t="shared" si="56"/>
        <v>No</v>
      </c>
      <c r="AT323" s="29" t="str">
        <f t="shared" si="57"/>
        <v>NA</v>
      </c>
      <c r="AU323" s="30"/>
      <c r="AV323" s="31"/>
      <c r="AW323" s="31" t="s">
        <v>59</v>
      </c>
      <c r="AX323" s="2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</row>
    <row r="324" spans="1:74" x14ac:dyDescent="0.25">
      <c r="A324" s="25">
        <v>320</v>
      </c>
      <c r="B324" s="23" t="s">
        <v>932</v>
      </c>
      <c r="C324" s="23" t="s">
        <v>906</v>
      </c>
      <c r="D324" s="26" t="s">
        <v>933</v>
      </c>
      <c r="E324" s="23">
        <v>4</v>
      </c>
      <c r="F324" s="23" t="s">
        <v>161</v>
      </c>
      <c r="G324" s="23">
        <f>VLOOKUP(C324,[2]Sheet2!$T$3:$V$92,3,FALSE)</f>
        <v>56</v>
      </c>
      <c r="H324" s="23" t="s">
        <v>68</v>
      </c>
      <c r="I324" s="23" t="s">
        <v>436</v>
      </c>
      <c r="J324" s="23"/>
      <c r="K324" s="6">
        <v>0</v>
      </c>
      <c r="L324" s="23"/>
      <c r="M324" s="63" t="s">
        <v>934</v>
      </c>
      <c r="N324" s="63"/>
      <c r="O324" s="23" t="e">
        <f t="shared" si="55"/>
        <v>#VALUE!</v>
      </c>
      <c r="P324" s="63"/>
      <c r="Q324" s="63"/>
      <c r="R324" s="64">
        <v>41456</v>
      </c>
      <c r="S324" s="64">
        <v>41456</v>
      </c>
      <c r="T324" s="23">
        <v>50181151</v>
      </c>
      <c r="U324" s="28">
        <v>4310291612381</v>
      </c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 t="s">
        <v>40</v>
      </c>
      <c r="AN324" s="32" t="s">
        <v>58</v>
      </c>
      <c r="AO324" s="32" t="s">
        <v>58</v>
      </c>
      <c r="AP324" s="23"/>
      <c r="AQ324" s="23"/>
      <c r="AR324" s="23"/>
      <c r="AS324" s="23" t="str">
        <f t="shared" si="56"/>
        <v>Yes</v>
      </c>
      <c r="AT324" s="29" t="str">
        <f t="shared" si="57"/>
        <v>Yes</v>
      </c>
      <c r="AU324" s="30"/>
      <c r="AV324" s="31"/>
      <c r="AW324" s="31" t="s">
        <v>59</v>
      </c>
      <c r="AX324" s="2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</row>
    <row r="325" spans="1:74" x14ac:dyDescent="0.25">
      <c r="A325" s="25">
        <v>321</v>
      </c>
      <c r="B325" s="23" t="s">
        <v>935</v>
      </c>
      <c r="C325" s="23" t="s">
        <v>906</v>
      </c>
      <c r="D325" s="26" t="s">
        <v>936</v>
      </c>
      <c r="E325" s="23">
        <v>4</v>
      </c>
      <c r="F325" s="23" t="s">
        <v>71</v>
      </c>
      <c r="G325" s="23">
        <f>VLOOKUP(C325,[2]Sheet2!$T$3:$V$92,3,FALSE)</f>
        <v>56</v>
      </c>
      <c r="H325" s="23" t="s">
        <v>68</v>
      </c>
      <c r="I325" s="23" t="s">
        <v>436</v>
      </c>
      <c r="J325" s="23"/>
      <c r="K325" s="6">
        <v>0</v>
      </c>
      <c r="L325" s="23"/>
      <c r="M325" s="23"/>
      <c r="N325" s="23"/>
      <c r="O325" s="23" t="e">
        <f t="shared" si="55"/>
        <v>#VALUE!</v>
      </c>
      <c r="P325" s="23"/>
      <c r="Q325" s="23"/>
      <c r="R325" s="27"/>
      <c r="S325" s="27"/>
      <c r="T325" s="23">
        <v>50703987</v>
      </c>
      <c r="U325" s="28">
        <v>4310188559209</v>
      </c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 t="s">
        <v>73</v>
      </c>
      <c r="AN325" s="23"/>
      <c r="AO325" s="23"/>
      <c r="AP325" s="23"/>
      <c r="AQ325" s="23"/>
      <c r="AR325" s="23"/>
      <c r="AS325" s="23" t="str">
        <f t="shared" si="56"/>
        <v>No</v>
      </c>
      <c r="AT325" s="29" t="str">
        <f t="shared" si="57"/>
        <v>NA</v>
      </c>
      <c r="AU325" s="30"/>
      <c r="AV325" s="31"/>
      <c r="AW325" s="31" t="s">
        <v>59</v>
      </c>
      <c r="AX325" s="2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</row>
    <row r="326" spans="1:74" x14ac:dyDescent="0.25">
      <c r="A326" s="25">
        <v>322</v>
      </c>
      <c r="B326" s="23" t="s">
        <v>937</v>
      </c>
      <c r="C326" s="23" t="s">
        <v>938</v>
      </c>
      <c r="D326" s="26" t="s">
        <v>939</v>
      </c>
      <c r="E326" s="23">
        <v>18</v>
      </c>
      <c r="F326" s="23" t="s">
        <v>440</v>
      </c>
      <c r="G326" s="23">
        <f>VLOOKUP(C326,[2]Sheet2!$T$3:$V$92,3,FALSE)</f>
        <v>57</v>
      </c>
      <c r="H326" s="23" t="s">
        <v>54</v>
      </c>
      <c r="I326" s="23" t="s">
        <v>436</v>
      </c>
      <c r="J326" s="23"/>
      <c r="L326" s="23"/>
      <c r="M326" s="23"/>
      <c r="N326" s="23" t="s">
        <v>56</v>
      </c>
      <c r="O326" s="23" t="e">
        <f ca="1">IF(ISNUMBER(SEARCH("to", N326)),
_xlfn.LET(
    _xlpm.text_n3, N326,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26" s="23"/>
      <c r="Q326" s="23" t="s">
        <v>57</v>
      </c>
      <c r="R326" s="27"/>
      <c r="S326" s="27"/>
      <c r="T326" s="23">
        <v>10449154</v>
      </c>
      <c r="U326" s="28" t="s">
        <v>940</v>
      </c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 t="s">
        <v>42</v>
      </c>
      <c r="AN326" s="23" t="s">
        <v>58</v>
      </c>
      <c r="AO326" s="23" t="s">
        <v>58</v>
      </c>
      <c r="AP326" s="23"/>
      <c r="AQ326" s="23" t="s">
        <v>58</v>
      </c>
      <c r="AR326" s="23"/>
      <c r="AS326" s="23" t="str">
        <f>IF(AND(AN326="Yes", AO326="Yes", AP326="Yes"), "Yes", IF(AND(AN326="", AO326="", AP326=""), "No", "Incomplete"))</f>
        <v>Incomplete</v>
      </c>
      <c r="AT326" s="29" t="str">
        <f t="shared" si="57"/>
        <v>Yes</v>
      </c>
      <c r="AU326" s="30"/>
      <c r="AV326" s="31"/>
      <c r="AW326" s="31" t="s">
        <v>59</v>
      </c>
      <c r="AX326" s="2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</row>
    <row r="327" spans="1:74" x14ac:dyDescent="0.25">
      <c r="A327" s="25">
        <v>323</v>
      </c>
      <c r="B327" s="23" t="s">
        <v>941</v>
      </c>
      <c r="C327" s="23" t="s">
        <v>938</v>
      </c>
      <c r="D327" s="26" t="s">
        <v>66</v>
      </c>
      <c r="E327" s="23">
        <v>17</v>
      </c>
      <c r="F327" s="23" t="s">
        <v>586</v>
      </c>
      <c r="G327" s="23">
        <f>VLOOKUP(C327,[2]Sheet2!$T$3:$V$92,3,FALSE)</f>
        <v>57</v>
      </c>
      <c r="H327" s="23" t="s">
        <v>54</v>
      </c>
      <c r="I327" s="23" t="s">
        <v>436</v>
      </c>
      <c r="J327" s="23"/>
      <c r="L327" s="23"/>
      <c r="M327" s="28"/>
      <c r="N327" s="28"/>
      <c r="O327" s="23" t="str">
        <f>IF(ISNUMBER(SEARCH("to", N327)),
_xlfn.LET(
    _xlpm.first_line, LEFT(N327, IFERROR(SEARCH(CHAR(10), N327)-1, LEN(N327))),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327" s="28"/>
      <c r="Q327" s="28"/>
      <c r="R327" s="27"/>
      <c r="S327" s="27"/>
      <c r="T327" s="23"/>
      <c r="U327" s="28"/>
      <c r="V327" s="28"/>
      <c r="W327" s="28"/>
      <c r="X327" s="28"/>
      <c r="Y327" s="28"/>
      <c r="Z327" s="23"/>
      <c r="AA327" s="66"/>
      <c r="AB327" s="23"/>
      <c r="AC327" s="23"/>
      <c r="AD327" s="28"/>
      <c r="AE327" s="23"/>
      <c r="AF327" s="23"/>
      <c r="AG327" s="9"/>
      <c r="AH327" s="28"/>
      <c r="AI327" s="67"/>
      <c r="AJ327" s="23"/>
      <c r="AK327" s="23"/>
      <c r="AL327" s="28"/>
      <c r="AM327" s="23" t="s">
        <v>66</v>
      </c>
      <c r="AN327" s="31"/>
      <c r="AO327" s="68"/>
      <c r="AP327" s="31"/>
      <c r="AQ327" s="31"/>
      <c r="AR327" s="31"/>
      <c r="AS327" s="23" t="str">
        <f>IF(AND(AN327="Yes", AO327="Yes", AP327="Yes"), "Yes", IF(AND(AN327="", AO327="", AP327=""), "No", "Incomplete"))</f>
        <v>No</v>
      </c>
      <c r="AT327" s="29" t="str">
        <f t="shared" si="57"/>
        <v>Vacant</v>
      </c>
      <c r="AU327" s="69"/>
      <c r="AV327" s="31"/>
      <c r="AW327" s="31"/>
      <c r="AX327" s="2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</row>
    <row r="328" spans="1:74" x14ac:dyDescent="0.25">
      <c r="A328" s="25">
        <v>324</v>
      </c>
      <c r="B328" s="23" t="s">
        <v>942</v>
      </c>
      <c r="C328" s="23" t="s">
        <v>938</v>
      </c>
      <c r="D328" s="4" t="s">
        <v>66</v>
      </c>
      <c r="E328" s="1">
        <v>15</v>
      </c>
      <c r="F328" s="1" t="s">
        <v>67</v>
      </c>
      <c r="G328" s="23">
        <f>VLOOKUP(C328,[2]Sheet2!$T$3:$V$92,3,FALSE)</f>
        <v>57</v>
      </c>
      <c r="H328" s="23" t="s">
        <v>68</v>
      </c>
      <c r="I328" s="23" t="s">
        <v>436</v>
      </c>
      <c r="J328" s="2"/>
      <c r="K328" s="6">
        <v>0</v>
      </c>
      <c r="L328" s="2"/>
      <c r="M328" s="1"/>
      <c r="N328" s="1"/>
      <c r="O328" s="23" t="e">
        <f t="shared" ref="O328:O338" si="58">IF(DATEVALUE(MID(N328,15,10))-DATEVALUE(LEFT(N328,10))+1&gt;=365,"1 Year",
DATEDIF(DATEVALUE(LEFT(N328,10)),DATEVALUE(MID(N328,15,10)),"Y")&amp;" Years, "&amp;DATEDIF(DATEVALUE(LEFT(N328,10)),DATEVALUE(MID(N328,15,10)),"YM")&amp;" Months, "&amp;DATEDIF(DATEVALUE(LEFT(N328,10)),DATEVALUE(MID(N328,15,10)),"MD")&amp;" Days")</f>
        <v>#VALUE!</v>
      </c>
      <c r="P328" s="1"/>
      <c r="Q328" s="1"/>
      <c r="S328" s="49"/>
      <c r="T328" s="1"/>
      <c r="U328" s="58"/>
      <c r="V328" s="4"/>
      <c r="W328" s="59"/>
      <c r="X328"/>
      <c r="Y328"/>
      <c r="Z328" s="58"/>
      <c r="AA328"/>
      <c r="AC328" s="60"/>
      <c r="AG328"/>
      <c r="AI328" s="58"/>
      <c r="AK328" s="58"/>
      <c r="AL328"/>
      <c r="AM328"/>
      <c r="AO328" s="60"/>
      <c r="AQ328" s="60"/>
      <c r="AS328"/>
      <c r="AU328" s="49"/>
      <c r="AV328" s="49"/>
      <c r="AW328" s="49"/>
      <c r="AX328" s="49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</row>
    <row r="329" spans="1:74" x14ac:dyDescent="0.25">
      <c r="A329" s="25">
        <v>325</v>
      </c>
      <c r="B329" s="23" t="s">
        <v>943</v>
      </c>
      <c r="C329" s="23" t="s">
        <v>938</v>
      </c>
      <c r="D329" s="26" t="s">
        <v>944</v>
      </c>
      <c r="E329" s="23">
        <v>15</v>
      </c>
      <c r="F329" s="23" t="s">
        <v>108</v>
      </c>
      <c r="G329" s="23">
        <f>VLOOKUP(C329,[2]Sheet2!$T$3:$V$92,3,FALSE)</f>
        <v>57</v>
      </c>
      <c r="H329" s="23" t="s">
        <v>68</v>
      </c>
      <c r="I329" s="23" t="s">
        <v>436</v>
      </c>
      <c r="J329" s="23"/>
      <c r="K329" s="6">
        <v>0</v>
      </c>
      <c r="L329" s="23"/>
      <c r="M329" s="23"/>
      <c r="N329" s="23"/>
      <c r="O329" s="23" t="e">
        <f t="shared" si="58"/>
        <v>#VALUE!</v>
      </c>
      <c r="P329" s="23"/>
      <c r="Q329" s="23"/>
      <c r="R329" s="27"/>
      <c r="S329" s="27"/>
      <c r="T329" s="23">
        <v>50698875</v>
      </c>
      <c r="U329" s="28" t="s">
        <v>945</v>
      </c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 t="s">
        <v>41</v>
      </c>
      <c r="AN329" s="32" t="s">
        <v>58</v>
      </c>
      <c r="AO329" s="32" t="s">
        <v>58</v>
      </c>
      <c r="AP329" s="32" t="s">
        <v>58</v>
      </c>
      <c r="AQ329" s="23"/>
      <c r="AR329" s="23" t="s">
        <v>946</v>
      </c>
      <c r="AS329" s="23" t="str">
        <f>IF(AND(AN329="Yes", AO329="Yes", AP329="Yes"), "Yes", IF(AND(AN329="", AO329="", AP329=""), "No", "Incomplete"))</f>
        <v>Yes</v>
      </c>
      <c r="AT329" s="29" t="str">
        <f>IF(AM329="Matric",IF(AN329="Yes","Yes",IF(AN329="Under Process", "Under Process","No")),IF(AM329="Inter",IF(AO329="Yes","Yes",IF(AO329="Under Process", "Under Process","No")),IF(AM329="Bachelor",IF(AP329="Yes","Yes",IF(AP329="Under Process", "Under Process","No")),IF(AM329="Master",IF(AQ329="Yes","Yes",IF(AQ329="Under Process", "Under Process","No")),IF(AM329="Vacant",IF(D337="Yes","No","Vacant"),IF(AM329="NA",IF(D337="Yes","No","NA"),"No"))))))</f>
        <v>Yes</v>
      </c>
      <c r="AU329" s="30"/>
      <c r="AV329" s="31"/>
      <c r="AW329" s="31" t="s">
        <v>59</v>
      </c>
      <c r="AX329" s="2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</row>
    <row r="330" spans="1:74" x14ac:dyDescent="0.25">
      <c r="A330" s="25">
        <v>326</v>
      </c>
      <c r="B330" s="23" t="s">
        <v>947</v>
      </c>
      <c r="C330" s="23" t="s">
        <v>938</v>
      </c>
      <c r="D330" s="26" t="s">
        <v>948</v>
      </c>
      <c r="E330" s="23">
        <v>15</v>
      </c>
      <c r="F330" s="23" t="s">
        <v>108</v>
      </c>
      <c r="G330" s="23">
        <f>VLOOKUP(C330,[2]Sheet2!$T$3:$V$92,3,FALSE)</f>
        <v>57</v>
      </c>
      <c r="H330" s="23" t="s">
        <v>68</v>
      </c>
      <c r="I330" s="23" t="s">
        <v>436</v>
      </c>
      <c r="J330" s="23"/>
      <c r="K330" s="6">
        <v>0</v>
      </c>
      <c r="L330" s="23"/>
      <c r="M330" s="23"/>
      <c r="N330" s="23"/>
      <c r="O330" s="23" t="e">
        <f t="shared" si="58"/>
        <v>#VALUE!</v>
      </c>
      <c r="P330" s="23"/>
      <c r="Q330" s="23"/>
      <c r="R330" s="27"/>
      <c r="S330" s="27"/>
      <c r="T330" s="23">
        <v>50702090</v>
      </c>
      <c r="U330" s="28">
        <v>4330401708903</v>
      </c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 t="s">
        <v>42</v>
      </c>
      <c r="AN330" s="32" t="s">
        <v>58</v>
      </c>
      <c r="AO330" s="32" t="s">
        <v>58</v>
      </c>
      <c r="AP330" s="32" t="s">
        <v>58</v>
      </c>
      <c r="AQ330" s="32" t="s">
        <v>58</v>
      </c>
      <c r="AR330" s="23" t="s">
        <v>58</v>
      </c>
      <c r="AS330" s="23" t="str">
        <f>IF(AND(AN330="Yes", AO330="Yes", AP330="Yes"), "Yes", IF(AND(AN330="", AO330="", AP330=""), "No", "Incomplete"))</f>
        <v>Yes</v>
      </c>
      <c r="AT330" s="29" t="str">
        <f>IF(AM330="Matric",IF(AN330="Yes","Yes",IF(AN330="Under Process", "Under Process","No")),IF(AM330="Inter",IF(AO330="Yes","Yes",IF(AO330="Under Process", "Under Process","No")),IF(AM330="Bachelor",IF(AP330="Yes","Yes",IF(AP330="Under Process", "Under Process","No")),IF(AM330="Master",IF(AQ330="Yes","Yes",IF(AQ330="Under Process", "Under Process","No")),IF(AM330="Vacant",IF(D338="Yes","No","Vacant"),IF(AM330="NA",IF(D338="Yes","No","NA"),"No"))))))</f>
        <v>Yes</v>
      </c>
      <c r="AU330" s="30"/>
      <c r="AV330" s="31"/>
      <c r="AW330" s="31" t="s">
        <v>59</v>
      </c>
      <c r="AX330" s="2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</row>
    <row r="331" spans="1:74" x14ac:dyDescent="0.25">
      <c r="A331" s="25">
        <v>327</v>
      </c>
      <c r="B331" s="23" t="s">
        <v>949</v>
      </c>
      <c r="C331" s="23" t="s">
        <v>938</v>
      </c>
      <c r="D331" s="26" t="s">
        <v>950</v>
      </c>
      <c r="E331" s="23">
        <v>15</v>
      </c>
      <c r="F331" s="23" t="s">
        <v>108</v>
      </c>
      <c r="G331" s="23">
        <f>VLOOKUP(C331,[2]Sheet2!$T$3:$V$92,3,FALSE)</f>
        <v>57</v>
      </c>
      <c r="H331" s="23" t="s">
        <v>68</v>
      </c>
      <c r="I331" s="23" t="s">
        <v>436</v>
      </c>
      <c r="J331" s="23"/>
      <c r="K331" s="6">
        <v>0</v>
      </c>
      <c r="L331" s="23"/>
      <c r="M331" s="23"/>
      <c r="N331" s="23"/>
      <c r="O331" s="23" t="e">
        <f t="shared" si="58"/>
        <v>#VALUE!</v>
      </c>
      <c r="P331" s="23"/>
      <c r="Q331" s="23"/>
      <c r="R331" s="27"/>
      <c r="S331" s="27"/>
      <c r="T331" s="23">
        <v>50170236</v>
      </c>
      <c r="U331" s="28">
        <v>4320379076031</v>
      </c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 t="s">
        <v>42</v>
      </c>
      <c r="AN331" s="23"/>
      <c r="AO331" s="23"/>
      <c r="AP331" s="32" t="s">
        <v>58</v>
      </c>
      <c r="AQ331" s="23" t="s">
        <v>58</v>
      </c>
      <c r="AR331" s="23"/>
      <c r="AS331" s="23" t="str">
        <f>IF(AND(AN331="Yes", AO331="Yes", AP331="Yes"), "Yes", IF(AND(AN331="", AO331="", AP331=""), "No", "Incomplete"))</f>
        <v>Incomplete</v>
      </c>
      <c r="AT331" s="29" t="str">
        <f>IF(AM331="Matric",IF(AN331="Yes","Yes",IF(AN331="Under Process", "Under Process","No")),IF(AM331="Inter",IF(AO331="Yes","Yes",IF(AO331="Under Process", "Under Process","No")),IF(AM331="Bachelor",IF(AP331="Yes","Yes",IF(AP331="Under Process", "Under Process","No")),IF(AM331="Master",IF(AQ331="Yes","Yes",IF(AQ331="Under Process", "Under Process","No")),IF(AM331="Vacant",IF(D339="Yes","No","Vacant"),IF(AM331="NA",IF(D339="Yes","No","NA"),"No"))))))</f>
        <v>Yes</v>
      </c>
      <c r="AU331" s="30"/>
      <c r="AV331" s="31"/>
      <c r="AW331" s="31" t="s">
        <v>59</v>
      </c>
      <c r="AX331" s="2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</row>
    <row r="332" spans="1:74" x14ac:dyDescent="0.25">
      <c r="A332" s="25">
        <v>328</v>
      </c>
      <c r="B332" s="23" t="s">
        <v>951</v>
      </c>
      <c r="C332" s="23" t="s">
        <v>938</v>
      </c>
      <c r="D332" s="26" t="s">
        <v>952</v>
      </c>
      <c r="E332" s="23">
        <v>13</v>
      </c>
      <c r="F332" s="23" t="s">
        <v>131</v>
      </c>
      <c r="G332" s="23">
        <f>VLOOKUP(C332,[2]Sheet2!$T$3:$V$92,3,FALSE)</f>
        <v>57</v>
      </c>
      <c r="H332" s="23" t="s">
        <v>68</v>
      </c>
      <c r="I332" s="23" t="s">
        <v>436</v>
      </c>
      <c r="J332" s="23"/>
      <c r="K332" s="6">
        <v>0</v>
      </c>
      <c r="L332" s="23"/>
      <c r="M332" s="23"/>
      <c r="N332" s="23"/>
      <c r="O332" s="23" t="e">
        <f t="shared" si="58"/>
        <v>#VALUE!</v>
      </c>
      <c r="P332" s="23"/>
      <c r="Q332" s="23"/>
      <c r="R332" s="27"/>
      <c r="S332" s="27"/>
      <c r="T332" s="23">
        <v>10303653</v>
      </c>
      <c r="U332" s="28" t="s">
        <v>953</v>
      </c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 t="s">
        <v>40</v>
      </c>
      <c r="AN332" s="23" t="s">
        <v>58</v>
      </c>
      <c r="AO332" s="23" t="s">
        <v>58</v>
      </c>
      <c r="AP332" s="23"/>
      <c r="AQ332" s="23"/>
      <c r="AR332" s="23"/>
      <c r="AS332" s="23" t="str">
        <f>IF(AND(AN332="Yes", AO332="Yes"), "Yes", IF(AND(AN332="", AO332=""), "No", "Incomplete"))</f>
        <v>Yes</v>
      </c>
      <c r="AT332" s="29" t="str">
        <f>IF(AM332="Matric",IF(AN332="Yes","Yes",IF(AN332="Under Process", "Under Process","No")),IF(AM332="Inter",IF(AO332="Yes","Yes",IF(AO332="Under Process", "Under Process","No")),IF(AM332="Bachelor",IF(AP332="Yes","Yes",IF(AP332="Under Process", "Under Process","No")),IF(AM332="Master",IF(AQ332="Yes","Yes",IF(AQ332="Under Process", "Under Process","No")),IF(AM332="Vacant",IF(D340="Yes","No","Vacant"),IF(AM332="NA",IF(D340="Yes","No","NA"),"No"))))))</f>
        <v>Yes</v>
      </c>
      <c r="AU332" s="30"/>
      <c r="AV332" s="31"/>
      <c r="AW332" s="31" t="s">
        <v>59</v>
      </c>
      <c r="AX332" s="2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</row>
    <row r="333" spans="1:74" x14ac:dyDescent="0.25">
      <c r="A333" s="25">
        <v>329</v>
      </c>
      <c r="B333" s="23" t="s">
        <v>954</v>
      </c>
      <c r="C333" s="23" t="s">
        <v>938</v>
      </c>
      <c r="D333" s="26" t="s">
        <v>66</v>
      </c>
      <c r="E333" s="23">
        <v>11</v>
      </c>
      <c r="F333" s="23" t="s">
        <v>138</v>
      </c>
      <c r="G333" s="23">
        <f>VLOOKUP(C333,[2]Sheet2!$T$3:$V$92,3,FALSE)</f>
        <v>57</v>
      </c>
      <c r="H333" s="23" t="s">
        <v>68</v>
      </c>
      <c r="I333" s="23" t="s">
        <v>436</v>
      </c>
      <c r="J333" s="23"/>
      <c r="K333" s="6">
        <v>0</v>
      </c>
      <c r="L333" s="23"/>
      <c r="M333" s="23"/>
      <c r="N333" s="23"/>
      <c r="O333" s="23" t="e">
        <f t="shared" si="58"/>
        <v>#VALUE!</v>
      </c>
      <c r="P333" s="23"/>
      <c r="Q333" s="23"/>
      <c r="R333" s="27"/>
      <c r="S333" s="27"/>
      <c r="T333" s="23"/>
      <c r="U333" s="28"/>
      <c r="V333" s="28"/>
      <c r="W333" s="28"/>
      <c r="X333" s="28"/>
      <c r="Y333" s="28"/>
      <c r="Z333" s="28"/>
      <c r="AA333" s="23"/>
      <c r="AB333" s="23"/>
      <c r="AC333" s="27"/>
      <c r="AD333" s="28"/>
      <c r="AE333" s="23"/>
      <c r="AF333" s="23"/>
      <c r="AG333" s="9"/>
      <c r="AH333" s="28"/>
      <c r="AI333" s="67"/>
      <c r="AJ333" s="23"/>
      <c r="AK333" s="28"/>
      <c r="AL333" s="23"/>
      <c r="AM333" s="23"/>
      <c r="AN333" s="31"/>
      <c r="AO333" s="72"/>
      <c r="AP333" s="31"/>
      <c r="AQ333" s="72"/>
      <c r="AR333" s="31"/>
      <c r="AS333" s="2"/>
      <c r="AT333" s="2"/>
      <c r="AU333" s="73"/>
      <c r="AV333" s="68"/>
      <c r="AW333" s="31"/>
      <c r="AX333" s="9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</row>
    <row r="334" spans="1:74" x14ac:dyDescent="0.25">
      <c r="A334" s="25">
        <v>330</v>
      </c>
      <c r="B334" s="23" t="s">
        <v>955</v>
      </c>
      <c r="C334" s="23" t="s">
        <v>938</v>
      </c>
      <c r="D334" s="26" t="s">
        <v>956</v>
      </c>
      <c r="E334" s="23">
        <v>11</v>
      </c>
      <c r="F334" s="23" t="s">
        <v>138</v>
      </c>
      <c r="G334" s="23">
        <f>VLOOKUP(C334,[2]Sheet2!$T$3:$V$92,3,FALSE)</f>
        <v>57</v>
      </c>
      <c r="H334" s="23" t="s">
        <v>68</v>
      </c>
      <c r="I334" s="23" t="s">
        <v>436</v>
      </c>
      <c r="J334" s="23"/>
      <c r="K334" s="6">
        <v>0</v>
      </c>
      <c r="L334" s="23"/>
      <c r="M334" s="23"/>
      <c r="N334" s="23"/>
      <c r="O334" s="23" t="e">
        <f t="shared" si="58"/>
        <v>#VALUE!</v>
      </c>
      <c r="P334" s="23"/>
      <c r="Q334" s="23"/>
      <c r="R334" s="27"/>
      <c r="S334" s="27"/>
      <c r="T334" s="23">
        <v>50698887</v>
      </c>
      <c r="U334" s="28" t="s">
        <v>957</v>
      </c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 t="s">
        <v>41</v>
      </c>
      <c r="AN334" s="23" t="s">
        <v>58</v>
      </c>
      <c r="AO334" s="23" t="s">
        <v>58</v>
      </c>
      <c r="AP334" s="23" t="s">
        <v>58</v>
      </c>
      <c r="AQ334" s="23"/>
      <c r="AR334" s="23"/>
      <c r="AS334" s="23" t="str">
        <f>IF(AND(AN334="Yes"), "Yes", IF(AND(AN334=""), "No", "Incomplete"))</f>
        <v>Yes</v>
      </c>
      <c r="AT334" s="29" t="str">
        <f t="shared" ref="AT334:AT397" si="59">IF(AM334="Matric",IF(AN334="Yes","Yes",IF(AN334="Under Process", "Under Process","No")),IF(AM334="Inter",IF(AO334="Yes","Yes",IF(AO334="Under Process", "Under Process","No")),IF(AM334="Bachelor",IF(AP334="Yes","Yes",IF(AP334="Under Process", "Under Process","No")),IF(AM334="Master",IF(AQ334="Yes","Yes",IF(AQ334="Under Process", "Under Process","No")),IF(AM334="Vacant",IF(D342="Yes","No","Vacant"),IF(AM334="NA",IF(D342="Yes","No","NA"),"No"))))))</f>
        <v>Yes</v>
      </c>
      <c r="AU334" s="30"/>
      <c r="AV334" s="31"/>
      <c r="AW334" s="31" t="s">
        <v>59</v>
      </c>
      <c r="AX334" s="2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</row>
    <row r="335" spans="1:74" x14ac:dyDescent="0.25">
      <c r="A335" s="25">
        <v>331</v>
      </c>
      <c r="B335" s="23" t="s">
        <v>958</v>
      </c>
      <c r="C335" s="23" t="s">
        <v>938</v>
      </c>
      <c r="D335" s="26" t="s">
        <v>959</v>
      </c>
      <c r="E335" s="23">
        <v>7</v>
      </c>
      <c r="F335" s="23" t="s">
        <v>264</v>
      </c>
      <c r="G335" s="23">
        <f>VLOOKUP(C335,[2]Sheet2!$T$3:$V$92,3,FALSE)</f>
        <v>57</v>
      </c>
      <c r="H335" s="23" t="s">
        <v>68</v>
      </c>
      <c r="I335" s="23" t="s">
        <v>436</v>
      </c>
      <c r="J335" s="23"/>
      <c r="K335" s="6">
        <v>0</v>
      </c>
      <c r="L335" s="23"/>
      <c r="M335" s="23"/>
      <c r="N335" s="23"/>
      <c r="O335" s="23" t="e">
        <f t="shared" si="58"/>
        <v>#VALUE!</v>
      </c>
      <c r="P335" s="23"/>
      <c r="Q335" s="23"/>
      <c r="R335" s="27"/>
      <c r="S335" s="27"/>
      <c r="T335" s="23">
        <v>10388417</v>
      </c>
      <c r="U335" s="28" t="s">
        <v>960</v>
      </c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 t="s">
        <v>73</v>
      </c>
      <c r="AN335" s="23"/>
      <c r="AO335" s="23"/>
      <c r="AP335" s="23"/>
      <c r="AQ335" s="23"/>
      <c r="AR335" s="23"/>
      <c r="AS335" s="23" t="str">
        <f>IF(AND(AN335="Yes"), "Yes", IF(AND(AN335=""), "No", "Incomplete"))</f>
        <v>No</v>
      </c>
      <c r="AT335" s="29" t="str">
        <f t="shared" si="59"/>
        <v>NA</v>
      </c>
      <c r="AU335" s="30"/>
      <c r="AV335" s="31"/>
      <c r="AW335" s="31" t="s">
        <v>59</v>
      </c>
      <c r="AX335" s="2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</row>
    <row r="336" spans="1:74" x14ac:dyDescent="0.25">
      <c r="A336" s="25">
        <v>332</v>
      </c>
      <c r="B336" s="23" t="s">
        <v>961</v>
      </c>
      <c r="C336" s="23" t="s">
        <v>938</v>
      </c>
      <c r="D336" s="26" t="s">
        <v>962</v>
      </c>
      <c r="E336" s="23">
        <v>5</v>
      </c>
      <c r="F336" s="23" t="s">
        <v>71</v>
      </c>
      <c r="G336" s="23">
        <f>VLOOKUP(C336,[2]Sheet2!$T$3:$V$92,3,FALSE)</f>
        <v>57</v>
      </c>
      <c r="H336" s="23" t="s">
        <v>68</v>
      </c>
      <c r="I336" s="23" t="s">
        <v>436</v>
      </c>
      <c r="J336" s="23"/>
      <c r="K336" s="6">
        <v>0</v>
      </c>
      <c r="L336" s="23"/>
      <c r="M336" s="23"/>
      <c r="N336" s="23"/>
      <c r="O336" s="23" t="e">
        <f t="shared" si="58"/>
        <v>#VALUE!</v>
      </c>
      <c r="P336" s="23"/>
      <c r="Q336" s="23"/>
      <c r="R336" s="27"/>
      <c r="S336" s="27"/>
      <c r="T336" s="23">
        <v>10692332</v>
      </c>
      <c r="U336" s="28" t="s">
        <v>963</v>
      </c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 t="s">
        <v>40</v>
      </c>
      <c r="AN336" s="32" t="s">
        <v>58</v>
      </c>
      <c r="AO336" s="32" t="s">
        <v>58</v>
      </c>
      <c r="AP336" s="23"/>
      <c r="AQ336" s="23"/>
      <c r="AR336" s="23"/>
      <c r="AS336" s="23" t="str">
        <f>IF(AND(AN336="Yes"), "Yes", IF(AND(AN336=""), "No", "Incomplete"))</f>
        <v>Yes</v>
      </c>
      <c r="AT336" s="29" t="str">
        <f t="shared" si="59"/>
        <v>Yes</v>
      </c>
      <c r="AU336" s="30"/>
      <c r="AV336" s="31"/>
      <c r="AW336" s="31" t="s">
        <v>59</v>
      </c>
      <c r="AX336" s="2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</row>
    <row r="337" spans="1:74" x14ac:dyDescent="0.25">
      <c r="A337" s="25">
        <v>333</v>
      </c>
      <c r="B337" s="23" t="s">
        <v>964</v>
      </c>
      <c r="C337" s="23" t="s">
        <v>938</v>
      </c>
      <c r="D337" s="26" t="s">
        <v>965</v>
      </c>
      <c r="E337" s="23">
        <v>4</v>
      </c>
      <c r="F337" s="23" t="s">
        <v>161</v>
      </c>
      <c r="G337" s="23">
        <f>VLOOKUP(C337,[2]Sheet2!$T$3:$V$92,3,FALSE)</f>
        <v>57</v>
      </c>
      <c r="H337" s="23" t="s">
        <v>68</v>
      </c>
      <c r="I337" s="23" t="s">
        <v>436</v>
      </c>
      <c r="J337" s="23"/>
      <c r="K337" s="6">
        <v>0</v>
      </c>
      <c r="L337" s="23"/>
      <c r="M337" s="43" t="s">
        <v>931</v>
      </c>
      <c r="N337" s="43"/>
      <c r="O337" s="23" t="e">
        <f t="shared" si="58"/>
        <v>#VALUE!</v>
      </c>
      <c r="P337" s="43"/>
      <c r="Q337" s="43"/>
      <c r="R337" s="44">
        <v>41456</v>
      </c>
      <c r="S337" s="44">
        <v>41456</v>
      </c>
      <c r="T337" s="23">
        <v>50187498</v>
      </c>
      <c r="U337" s="28" t="s">
        <v>966</v>
      </c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 t="s">
        <v>39</v>
      </c>
      <c r="AN337" s="32" t="s">
        <v>58</v>
      </c>
      <c r="AO337" s="23"/>
      <c r="AP337" s="23"/>
      <c r="AQ337" s="23"/>
      <c r="AR337" s="23"/>
      <c r="AS337" s="23" t="str">
        <f>IF(AND(AN337="Yes"), "Yes", IF(AND(AN337=""), "No", "Incomplete"))</f>
        <v>Yes</v>
      </c>
      <c r="AT337" s="29" t="str">
        <f t="shared" si="59"/>
        <v>Yes</v>
      </c>
      <c r="AU337" s="30"/>
      <c r="AV337" s="31"/>
      <c r="AW337" s="31" t="s">
        <v>59</v>
      </c>
      <c r="AX337" s="2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</row>
    <row r="338" spans="1:74" x14ac:dyDescent="0.25">
      <c r="A338" s="25">
        <v>334</v>
      </c>
      <c r="B338" s="23" t="s">
        <v>967</v>
      </c>
      <c r="C338" s="23" t="s">
        <v>938</v>
      </c>
      <c r="D338" s="41" t="s">
        <v>968</v>
      </c>
      <c r="E338" s="23">
        <v>2</v>
      </c>
      <c r="F338" s="23" t="s">
        <v>71</v>
      </c>
      <c r="G338" s="23">
        <f>VLOOKUP(C338,[2]Sheet2!$T$3:$V$92,3,FALSE)</f>
        <v>57</v>
      </c>
      <c r="H338" s="23" t="s">
        <v>68</v>
      </c>
      <c r="I338" s="23" t="s">
        <v>436</v>
      </c>
      <c r="J338" s="23">
        <v>3</v>
      </c>
      <c r="K338" s="6">
        <v>0.62</v>
      </c>
      <c r="L338" s="23" t="s">
        <v>969</v>
      </c>
      <c r="M338" s="23"/>
      <c r="N338" s="23"/>
      <c r="O338" s="23" t="e">
        <f t="shared" si="58"/>
        <v>#VALUE!</v>
      </c>
      <c r="P338" s="23"/>
      <c r="Q338" s="23"/>
      <c r="R338" s="27"/>
      <c r="S338" s="27"/>
      <c r="T338" s="23"/>
      <c r="U338" s="28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 t="s">
        <v>40</v>
      </c>
      <c r="AN338" s="23"/>
      <c r="AO338" s="23"/>
      <c r="AP338" s="23"/>
      <c r="AQ338" s="23"/>
      <c r="AR338" s="23"/>
      <c r="AS338" s="23" t="str">
        <f>IF(AND(AN338="Yes"), "Yes", IF(AND(AN338=""), "No", "Incomplete"))</f>
        <v>No</v>
      </c>
      <c r="AT338" s="29" t="str">
        <f t="shared" si="59"/>
        <v>No</v>
      </c>
      <c r="AU338" s="30"/>
      <c r="AV338" s="31"/>
      <c r="AW338" s="31"/>
      <c r="AX338" s="2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</row>
    <row r="339" spans="1:74" ht="42.75" x14ac:dyDescent="0.25">
      <c r="A339" s="25">
        <v>335</v>
      </c>
      <c r="B339" s="23" t="s">
        <v>970</v>
      </c>
      <c r="C339" s="23" t="s">
        <v>971</v>
      </c>
      <c r="D339" s="26" t="s">
        <v>972</v>
      </c>
      <c r="E339" s="23">
        <v>18</v>
      </c>
      <c r="F339" s="23" t="s">
        <v>440</v>
      </c>
      <c r="G339" s="23">
        <f>VLOOKUP(C339,[2]Sheet2!$T$3:$V$92,3,FALSE)</f>
        <v>58</v>
      </c>
      <c r="H339" s="23" t="s">
        <v>54</v>
      </c>
      <c r="I339" s="23" t="s">
        <v>436</v>
      </c>
      <c r="J339" s="23"/>
      <c r="L339" s="23"/>
      <c r="M339" s="23"/>
      <c r="N339" s="23" t="s">
        <v>973</v>
      </c>
      <c r="O339" s="23" t="e">
        <f ca="1">IF(ISNUMBER(SEARCH("to", N339)),
_xlfn.LET(
    _xlpm.text_n3, N339,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39" s="23"/>
      <c r="Q339" s="23" t="s">
        <v>57</v>
      </c>
      <c r="R339" s="27">
        <v>1</v>
      </c>
      <c r="S339" s="27">
        <v>45726</v>
      </c>
      <c r="T339" s="23"/>
      <c r="U339" s="28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 t="s">
        <v>42</v>
      </c>
      <c r="AN339" s="23"/>
      <c r="AO339" s="23"/>
      <c r="AP339" s="32" t="s">
        <v>58</v>
      </c>
      <c r="AQ339" s="32" t="s">
        <v>58</v>
      </c>
      <c r="AR339" s="23"/>
      <c r="AS339" s="23" t="str">
        <f>IF(AND(AN339="Yes", AO339="Yes", AP339="Yes"), "Yes", IF(AND(AN339="", AO339="", AP339=""), "No", "Incomplete"))</f>
        <v>Incomplete</v>
      </c>
      <c r="AT339" s="29" t="str">
        <f t="shared" si="59"/>
        <v>Yes</v>
      </c>
      <c r="AU339" s="30"/>
      <c r="AV339" s="31"/>
      <c r="AW339" s="31" t="s">
        <v>59</v>
      </c>
      <c r="AX339" s="2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</row>
    <row r="340" spans="1:74" x14ac:dyDescent="0.25">
      <c r="A340" s="25">
        <v>336</v>
      </c>
      <c r="B340" s="23" t="s">
        <v>974</v>
      </c>
      <c r="C340" s="23" t="s">
        <v>971</v>
      </c>
      <c r="D340" s="26" t="s">
        <v>66</v>
      </c>
      <c r="E340" s="23">
        <v>17</v>
      </c>
      <c r="F340" s="23" t="s">
        <v>586</v>
      </c>
      <c r="G340" s="23">
        <f>VLOOKUP(C340,[2]Sheet2!$T$3:$V$92,3,FALSE)</f>
        <v>58</v>
      </c>
      <c r="H340" s="23" t="s">
        <v>54</v>
      </c>
      <c r="I340" s="23" t="s">
        <v>436</v>
      </c>
      <c r="J340" s="23"/>
      <c r="L340" s="23"/>
      <c r="M340" s="23"/>
      <c r="N340" s="23"/>
      <c r="O340" s="23" t="str">
        <f>IF(ISNUMBER(SEARCH("to", N340)),
_xlfn.LET(
    _xlpm.text_n3, N340,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340" s="23"/>
      <c r="Q340" s="23"/>
      <c r="R340" s="27"/>
      <c r="S340" s="27"/>
      <c r="T340" s="23"/>
      <c r="U340" s="28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 t="s">
        <v>66</v>
      </c>
      <c r="AN340" s="23"/>
      <c r="AO340" s="23"/>
      <c r="AP340" s="23"/>
      <c r="AQ340" s="23"/>
      <c r="AR340" s="23"/>
      <c r="AS340" s="23" t="str">
        <f>IF(AND(AN340="Yes", AO340="Yes", AP340="Yes"), "Yes", IF(AND(AN340="", AO340="", AP340=""), "No", "Incomplete"))</f>
        <v>No</v>
      </c>
      <c r="AT340" s="29" t="str">
        <f t="shared" si="59"/>
        <v>Vacant</v>
      </c>
      <c r="AU340" s="30"/>
      <c r="AV340" s="31"/>
      <c r="AW340" s="31" t="s">
        <v>59</v>
      </c>
      <c r="AX340" s="2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</row>
    <row r="341" spans="1:74" x14ac:dyDescent="0.25">
      <c r="A341" s="25">
        <v>337</v>
      </c>
      <c r="B341" s="23" t="s">
        <v>975</v>
      </c>
      <c r="C341" s="23" t="s">
        <v>971</v>
      </c>
      <c r="D341" s="26" t="s">
        <v>976</v>
      </c>
      <c r="E341" s="23">
        <v>16</v>
      </c>
      <c r="F341" s="23" t="s">
        <v>67</v>
      </c>
      <c r="G341" s="23">
        <f>VLOOKUP(C341,[2]Sheet2!$T$3:$V$92,3,FALSE)</f>
        <v>58</v>
      </c>
      <c r="H341" s="23" t="s">
        <v>68</v>
      </c>
      <c r="I341" s="23" t="s">
        <v>436</v>
      </c>
      <c r="J341" s="23"/>
      <c r="K341" s="6">
        <v>0</v>
      </c>
      <c r="L341" s="23"/>
      <c r="M341" s="23"/>
      <c r="N341" s="23"/>
      <c r="O341" s="23" t="e">
        <f t="shared" ref="O341:O350" si="60">IF(DATEVALUE(MID(N341,15,10))-DATEVALUE(LEFT(N341,10))+1&gt;=365,"1 Year",
DATEDIF(DATEVALUE(LEFT(N341,10)),DATEVALUE(MID(N341,15,10)),"Y")&amp;" Years, "&amp;DATEDIF(DATEVALUE(LEFT(N341,10)),DATEVALUE(MID(N341,15,10)),"YM")&amp;" Months, "&amp;DATEDIF(DATEVALUE(LEFT(N341,10)),DATEVALUE(MID(N341,15,10)),"MD")&amp;" Days")</f>
        <v>#VALUE!</v>
      </c>
      <c r="P341" s="23"/>
      <c r="Q341" s="23"/>
      <c r="R341" s="27"/>
      <c r="S341" s="27"/>
      <c r="T341" s="23"/>
      <c r="U341" s="28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 t="s">
        <v>41</v>
      </c>
      <c r="AN341" s="32" t="s">
        <v>58</v>
      </c>
      <c r="AO341" s="32" t="s">
        <v>58</v>
      </c>
      <c r="AP341" s="32" t="s">
        <v>58</v>
      </c>
      <c r="AQ341" s="23"/>
      <c r="AR341" s="23"/>
      <c r="AS341" s="23" t="str">
        <f>IF(AND(AN341="Yes", AO341="Yes", AP341="Yes"), "Yes", IF(AND(AN341="", AO341="", AP341=""), "No", "Incomplete"))</f>
        <v>Yes</v>
      </c>
      <c r="AT341" s="29" t="str">
        <f t="shared" si="59"/>
        <v>Yes</v>
      </c>
      <c r="AU341" s="30"/>
      <c r="AV341" s="31"/>
      <c r="AW341" s="31"/>
      <c r="AX341" s="2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</row>
    <row r="342" spans="1:74" x14ac:dyDescent="0.25">
      <c r="A342" s="25">
        <v>338</v>
      </c>
      <c r="B342" s="23" t="s">
        <v>977</v>
      </c>
      <c r="C342" s="23" t="s">
        <v>971</v>
      </c>
      <c r="D342" s="26" t="s">
        <v>978</v>
      </c>
      <c r="E342" s="23">
        <v>15</v>
      </c>
      <c r="F342" s="23" t="s">
        <v>108</v>
      </c>
      <c r="G342" s="23">
        <f>VLOOKUP(C342,[2]Sheet2!$T$3:$V$92,3,FALSE)</f>
        <v>58</v>
      </c>
      <c r="H342" s="23" t="s">
        <v>68</v>
      </c>
      <c r="I342" s="23" t="s">
        <v>436</v>
      </c>
      <c r="J342" s="23"/>
      <c r="K342" s="6">
        <v>0</v>
      </c>
      <c r="L342" s="23"/>
      <c r="M342" s="23"/>
      <c r="N342" s="23"/>
      <c r="O342" s="23" t="e">
        <f t="shared" si="60"/>
        <v>#VALUE!</v>
      </c>
      <c r="P342" s="23"/>
      <c r="Q342" s="23"/>
      <c r="R342" s="27"/>
      <c r="S342" s="27"/>
      <c r="T342" s="23">
        <v>50698882</v>
      </c>
      <c r="U342" s="28">
        <v>4350203962049</v>
      </c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 t="s">
        <v>41</v>
      </c>
      <c r="AN342" s="32" t="s">
        <v>58</v>
      </c>
      <c r="AO342" s="32" t="s">
        <v>58</v>
      </c>
      <c r="AP342" s="32" t="s">
        <v>58</v>
      </c>
      <c r="AQ342" s="23"/>
      <c r="AR342" s="23" t="s">
        <v>882</v>
      </c>
      <c r="AS342" s="23" t="str">
        <f>IF(AND(AN342="Yes", AO342="Yes", AP342="Yes"), "Yes", IF(AND(AN342="", AO342="", AP342=""), "No", "Incomplete"))</f>
        <v>Yes</v>
      </c>
      <c r="AT342" s="29" t="str">
        <f t="shared" si="59"/>
        <v>Yes</v>
      </c>
      <c r="AU342" s="30"/>
      <c r="AV342" s="31"/>
      <c r="AW342" s="31" t="s">
        <v>59</v>
      </c>
      <c r="AX342" s="2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</row>
    <row r="343" spans="1:74" x14ac:dyDescent="0.25">
      <c r="A343" s="25">
        <v>339</v>
      </c>
      <c r="B343" s="23" t="s">
        <v>979</v>
      </c>
      <c r="C343" s="23" t="s">
        <v>971</v>
      </c>
      <c r="D343" s="41" t="s">
        <v>980</v>
      </c>
      <c r="E343" s="23">
        <v>14</v>
      </c>
      <c r="F343" s="23" t="s">
        <v>108</v>
      </c>
      <c r="G343" s="23">
        <f>VLOOKUP(C343,[2]Sheet2!$T$3:$V$92,3,FALSE)</f>
        <v>58</v>
      </c>
      <c r="H343" s="23" t="s">
        <v>68</v>
      </c>
      <c r="I343" s="23" t="s">
        <v>436</v>
      </c>
      <c r="J343" s="23"/>
      <c r="K343" s="6">
        <v>0</v>
      </c>
      <c r="L343" s="23"/>
      <c r="M343" s="23"/>
      <c r="N343" s="23"/>
      <c r="O343" s="23" t="e">
        <f t="shared" si="60"/>
        <v>#VALUE!</v>
      </c>
      <c r="P343" s="23"/>
      <c r="Q343" s="23"/>
      <c r="R343" s="27">
        <v>45952</v>
      </c>
      <c r="S343" s="27">
        <v>45952</v>
      </c>
      <c r="T343" s="23"/>
      <c r="U343" s="28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 t="s">
        <v>41</v>
      </c>
      <c r="AN343" s="32" t="s">
        <v>58</v>
      </c>
      <c r="AO343" s="32" t="s">
        <v>58</v>
      </c>
      <c r="AP343" s="32" t="s">
        <v>58</v>
      </c>
      <c r="AQ343" s="23"/>
      <c r="AR343" s="23"/>
      <c r="AS343" s="23" t="str">
        <f>IF(AND(AN343="Yes", AO343="Yes", AP343="Yes"), "Yes", IF(AND(AN343="", AO343="", AP343=""), "No", "Incomplete"))</f>
        <v>Yes</v>
      </c>
      <c r="AT343" s="29" t="str">
        <f t="shared" si="59"/>
        <v>Yes</v>
      </c>
      <c r="AU343" s="30"/>
      <c r="AV343" s="31"/>
      <c r="AW343" s="31"/>
      <c r="AX343" s="2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</row>
    <row r="344" spans="1:74" x14ac:dyDescent="0.25">
      <c r="A344" s="25">
        <v>340</v>
      </c>
      <c r="B344" s="23" t="s">
        <v>981</v>
      </c>
      <c r="C344" s="23" t="s">
        <v>971</v>
      </c>
      <c r="D344" s="26" t="s">
        <v>263</v>
      </c>
      <c r="E344" s="23">
        <v>13</v>
      </c>
      <c r="F344" s="23" t="s">
        <v>131</v>
      </c>
      <c r="G344" s="23">
        <f>VLOOKUP(C344,[2]Sheet2!$T$3:$V$92,3,FALSE)</f>
        <v>58</v>
      </c>
      <c r="H344" s="23" t="s">
        <v>68</v>
      </c>
      <c r="I344" s="23" t="s">
        <v>436</v>
      </c>
      <c r="J344" s="23"/>
      <c r="K344" s="6">
        <v>0</v>
      </c>
      <c r="L344" s="23"/>
      <c r="M344" s="23"/>
      <c r="N344" s="23"/>
      <c r="O344" s="23" t="e">
        <f t="shared" si="60"/>
        <v>#VALUE!</v>
      </c>
      <c r="P344" s="23"/>
      <c r="Q344" s="23"/>
      <c r="R344" s="27"/>
      <c r="S344" s="27"/>
      <c r="T344" s="23">
        <v>10456170</v>
      </c>
      <c r="U344" s="28">
        <v>4230108956385</v>
      </c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 t="s">
        <v>40</v>
      </c>
      <c r="AN344" s="23" t="s">
        <v>58</v>
      </c>
      <c r="AO344" s="32" t="s">
        <v>58</v>
      </c>
      <c r="AP344" s="23"/>
      <c r="AQ344" s="23"/>
      <c r="AR344" s="23"/>
      <c r="AS344" s="23" t="str">
        <f>IF(AND(AN344="Yes", AO344="Yes"), "Yes", IF(AND(AN344="", AO344=""), "No", "Incomplete"))</f>
        <v>Yes</v>
      </c>
      <c r="AT344" s="29" t="str">
        <f t="shared" si="59"/>
        <v>Yes</v>
      </c>
      <c r="AU344" s="30"/>
      <c r="AV344" s="31" t="s">
        <v>64</v>
      </c>
      <c r="AW344" s="31" t="s">
        <v>59</v>
      </c>
      <c r="AX344" s="2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</row>
    <row r="345" spans="1:74" ht="28.5" x14ac:dyDescent="0.25">
      <c r="A345" s="25">
        <v>255</v>
      </c>
      <c r="B345" s="23" t="s">
        <v>982</v>
      </c>
      <c r="C345" s="23" t="s">
        <v>971</v>
      </c>
      <c r="D345" s="26" t="s">
        <v>983</v>
      </c>
      <c r="E345" s="23">
        <v>11</v>
      </c>
      <c r="F345" s="23" t="s">
        <v>138</v>
      </c>
      <c r="G345" s="23">
        <f>VLOOKUP(C345,[2]Sheet2!$T$3:$V$92,3,FALSE)</f>
        <v>58</v>
      </c>
      <c r="H345" s="23" t="s">
        <v>68</v>
      </c>
      <c r="I345" s="23" t="s">
        <v>436</v>
      </c>
      <c r="J345" s="23">
        <v>1</v>
      </c>
      <c r="K345" s="6">
        <v>0.63</v>
      </c>
      <c r="L345" s="23" t="s">
        <v>427</v>
      </c>
      <c r="M345" s="23"/>
      <c r="N345" s="23" t="s">
        <v>95</v>
      </c>
      <c r="O345" s="23" t="str">
        <f t="shared" si="60"/>
        <v>1 Year</v>
      </c>
      <c r="P345" s="23" t="s">
        <v>984</v>
      </c>
      <c r="Q345" s="23"/>
      <c r="R345" s="27"/>
      <c r="S345" s="27">
        <v>46055</v>
      </c>
      <c r="T345" s="23">
        <v>50745381</v>
      </c>
      <c r="U345" s="28">
        <v>4320530170347</v>
      </c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 t="s">
        <v>41</v>
      </c>
      <c r="AN345" s="32" t="s">
        <v>58</v>
      </c>
      <c r="AO345" s="32" t="s">
        <v>58</v>
      </c>
      <c r="AP345" s="32" t="s">
        <v>58</v>
      </c>
      <c r="AQ345" s="23"/>
      <c r="AR345" s="23"/>
      <c r="AS345" s="23" t="str">
        <f t="shared" ref="AS345:AS350" si="61">IF(AND(AN345="Yes"), "Yes", IF(AND(AN345=""), "No", "Incomplete"))</f>
        <v>Yes</v>
      </c>
      <c r="AT345" s="29" t="str">
        <f t="shared" si="59"/>
        <v>Yes</v>
      </c>
      <c r="AU345" s="30"/>
      <c r="AV345" s="31"/>
      <c r="AW345" s="31" t="s">
        <v>59</v>
      </c>
      <c r="AX345" s="2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</row>
    <row r="346" spans="1:74" x14ac:dyDescent="0.25">
      <c r="A346" s="25">
        <v>342</v>
      </c>
      <c r="B346" s="23" t="s">
        <v>985</v>
      </c>
      <c r="C346" s="23" t="s">
        <v>971</v>
      </c>
      <c r="D346" s="26" t="s">
        <v>742</v>
      </c>
      <c r="E346" s="23">
        <v>11</v>
      </c>
      <c r="F346" s="23" t="s">
        <v>138</v>
      </c>
      <c r="G346" s="23">
        <f>VLOOKUP(C346,[2]Sheet2!$T$3:$V$92,3,FALSE)</f>
        <v>58</v>
      </c>
      <c r="H346" s="23" t="s">
        <v>68</v>
      </c>
      <c r="I346" s="23" t="s">
        <v>436</v>
      </c>
      <c r="J346" s="23"/>
      <c r="K346" s="6">
        <v>0</v>
      </c>
      <c r="L346" s="23"/>
      <c r="M346" s="23"/>
      <c r="N346" s="23"/>
      <c r="O346" s="23" t="e">
        <f t="shared" si="60"/>
        <v>#VALUE!</v>
      </c>
      <c r="P346" s="23"/>
      <c r="Q346" s="23"/>
      <c r="R346" s="27"/>
      <c r="S346" s="27"/>
      <c r="T346" s="23">
        <v>50698464</v>
      </c>
      <c r="U346" s="28">
        <v>4320384421773</v>
      </c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 t="s">
        <v>41</v>
      </c>
      <c r="AN346" s="32" t="s">
        <v>58</v>
      </c>
      <c r="AO346" s="32" t="s">
        <v>58</v>
      </c>
      <c r="AP346" s="32" t="s">
        <v>58</v>
      </c>
      <c r="AQ346" s="23"/>
      <c r="AR346" s="23"/>
      <c r="AS346" s="23" t="str">
        <f t="shared" si="61"/>
        <v>Yes</v>
      </c>
      <c r="AT346" s="29" t="str">
        <f t="shared" si="59"/>
        <v>Yes</v>
      </c>
      <c r="AU346" s="30"/>
      <c r="AV346" s="31" t="s">
        <v>64</v>
      </c>
      <c r="AW346" s="31"/>
      <c r="AX346" s="2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</row>
    <row r="347" spans="1:74" x14ac:dyDescent="0.25">
      <c r="A347" s="25">
        <v>343</v>
      </c>
      <c r="B347" s="23" t="s">
        <v>986</v>
      </c>
      <c r="C347" s="23" t="s">
        <v>971</v>
      </c>
      <c r="D347" s="26" t="s">
        <v>987</v>
      </c>
      <c r="E347" s="23">
        <v>7</v>
      </c>
      <c r="F347" s="23" t="s">
        <v>264</v>
      </c>
      <c r="G347" s="23">
        <f>VLOOKUP(C347,[2]Sheet2!$T$3:$V$92,3,FALSE)</f>
        <v>58</v>
      </c>
      <c r="H347" s="23" t="s">
        <v>68</v>
      </c>
      <c r="I347" s="23" t="s">
        <v>436</v>
      </c>
      <c r="J347" s="23"/>
      <c r="K347" s="6">
        <v>0</v>
      </c>
      <c r="L347" s="23"/>
      <c r="M347" s="23"/>
      <c r="N347" s="23"/>
      <c r="O347" s="23" t="e">
        <f t="shared" si="60"/>
        <v>#VALUE!</v>
      </c>
      <c r="P347" s="23"/>
      <c r="Q347" s="23"/>
      <c r="R347" s="27"/>
      <c r="S347" s="27"/>
      <c r="T347" s="23">
        <v>10440319</v>
      </c>
      <c r="U347" s="28">
        <v>4550193534597</v>
      </c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 t="s">
        <v>73</v>
      </c>
      <c r="AN347" s="23"/>
      <c r="AO347" s="23"/>
      <c r="AP347" s="23"/>
      <c r="AQ347" s="23"/>
      <c r="AR347" s="23"/>
      <c r="AS347" s="23" t="str">
        <f t="shared" si="61"/>
        <v>No</v>
      </c>
      <c r="AT347" s="29" t="str">
        <f t="shared" si="59"/>
        <v>NA</v>
      </c>
      <c r="AU347" s="30"/>
      <c r="AV347" s="31"/>
      <c r="AW347" s="31" t="s">
        <v>59</v>
      </c>
      <c r="AX347" s="2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</row>
    <row r="348" spans="1:74" x14ac:dyDescent="0.25">
      <c r="A348" s="25">
        <v>344</v>
      </c>
      <c r="B348" s="23" t="s">
        <v>988</v>
      </c>
      <c r="C348" s="23" t="s">
        <v>971</v>
      </c>
      <c r="D348" s="26" t="s">
        <v>989</v>
      </c>
      <c r="E348" s="23">
        <v>4</v>
      </c>
      <c r="F348" s="23" t="s">
        <v>161</v>
      </c>
      <c r="G348" s="23">
        <f>VLOOKUP(C348,[2]Sheet2!$T$3:$V$92,3,FALSE)</f>
        <v>58</v>
      </c>
      <c r="H348" s="23" t="s">
        <v>68</v>
      </c>
      <c r="I348" s="23" t="s">
        <v>436</v>
      </c>
      <c r="J348" s="23"/>
      <c r="K348" s="6">
        <v>0</v>
      </c>
      <c r="L348" s="23"/>
      <c r="M348" s="43" t="s">
        <v>581</v>
      </c>
      <c r="N348" s="43"/>
      <c r="O348" s="23" t="e">
        <f t="shared" si="60"/>
        <v>#VALUE!</v>
      </c>
      <c r="P348" s="43"/>
      <c r="Q348" s="43"/>
      <c r="R348" s="44">
        <v>38582</v>
      </c>
      <c r="S348" s="44">
        <v>45771</v>
      </c>
      <c r="T348" s="23">
        <v>10458011</v>
      </c>
      <c r="U348" s="28">
        <v>4550186031337</v>
      </c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 t="s">
        <v>39</v>
      </c>
      <c r="AN348" s="32" t="s">
        <v>58</v>
      </c>
      <c r="AO348" s="23"/>
      <c r="AP348" s="23"/>
      <c r="AQ348" s="23"/>
      <c r="AR348" s="23"/>
      <c r="AS348" s="23" t="str">
        <f t="shared" si="61"/>
        <v>Yes</v>
      </c>
      <c r="AT348" s="29" t="str">
        <f t="shared" si="59"/>
        <v>Yes</v>
      </c>
      <c r="AU348" s="30"/>
      <c r="AV348" s="31" t="s">
        <v>64</v>
      </c>
      <c r="AW348" s="31" t="s">
        <v>59</v>
      </c>
      <c r="AX348" s="2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</row>
    <row r="349" spans="1:74" x14ac:dyDescent="0.25">
      <c r="A349" s="25">
        <v>345</v>
      </c>
      <c r="B349" s="23" t="s">
        <v>990</v>
      </c>
      <c r="C349" s="23" t="s">
        <v>971</v>
      </c>
      <c r="D349" s="26" t="s">
        <v>991</v>
      </c>
      <c r="E349" s="23">
        <v>4</v>
      </c>
      <c r="F349" s="23" t="s">
        <v>71</v>
      </c>
      <c r="G349" s="23">
        <f>VLOOKUP(C349,[2]Sheet2!$T$3:$V$92,3,FALSE)</f>
        <v>58</v>
      </c>
      <c r="H349" s="23" t="s">
        <v>68</v>
      </c>
      <c r="I349" s="23" t="s">
        <v>436</v>
      </c>
      <c r="J349" s="23"/>
      <c r="K349" s="6">
        <v>0</v>
      </c>
      <c r="L349" s="23"/>
      <c r="M349" s="23"/>
      <c r="N349" s="23"/>
      <c r="O349" s="23" t="e">
        <f t="shared" si="60"/>
        <v>#VALUE!</v>
      </c>
      <c r="P349" s="23"/>
      <c r="Q349" s="23"/>
      <c r="R349" s="27"/>
      <c r="S349" s="27"/>
      <c r="T349" s="23">
        <v>20311777</v>
      </c>
      <c r="U349" s="28">
        <v>4330480262658</v>
      </c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 t="s">
        <v>39</v>
      </c>
      <c r="AN349" s="32" t="s">
        <v>58</v>
      </c>
      <c r="AO349" s="23"/>
      <c r="AP349" s="23"/>
      <c r="AQ349" s="23"/>
      <c r="AR349" s="23"/>
      <c r="AS349" s="23" t="str">
        <f t="shared" si="61"/>
        <v>Yes</v>
      </c>
      <c r="AT349" s="29" t="str">
        <f t="shared" si="59"/>
        <v>Yes</v>
      </c>
      <c r="AU349" s="30"/>
      <c r="AV349" s="31"/>
      <c r="AW349" s="31" t="s">
        <v>59</v>
      </c>
      <c r="AX349" s="2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</row>
    <row r="350" spans="1:74" x14ac:dyDescent="0.25">
      <c r="A350" s="25">
        <v>346</v>
      </c>
      <c r="B350" s="23" t="s">
        <v>992</v>
      </c>
      <c r="C350" s="23" t="s">
        <v>971</v>
      </c>
      <c r="D350" s="26" t="s">
        <v>580</v>
      </c>
      <c r="E350" s="23">
        <v>2</v>
      </c>
      <c r="F350" s="23" t="s">
        <v>71</v>
      </c>
      <c r="G350" s="23">
        <f>VLOOKUP(C350,[2]Sheet2!$T$3:$V$92,3,FALSE)</f>
        <v>58</v>
      </c>
      <c r="H350" s="23" t="s">
        <v>68</v>
      </c>
      <c r="I350" s="23" t="s">
        <v>436</v>
      </c>
      <c r="J350" s="23"/>
      <c r="K350" s="6">
        <v>0</v>
      </c>
      <c r="L350" s="23"/>
      <c r="M350" s="23"/>
      <c r="N350" s="23"/>
      <c r="O350" s="23" t="e">
        <f t="shared" si="60"/>
        <v>#VALUE!</v>
      </c>
      <c r="P350" s="23"/>
      <c r="Q350" s="23"/>
      <c r="R350" s="27"/>
      <c r="S350" s="27"/>
      <c r="T350" s="23"/>
      <c r="U350" s="28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 t="s">
        <v>39</v>
      </c>
      <c r="AN350" s="32" t="s">
        <v>58</v>
      </c>
      <c r="AO350" s="23"/>
      <c r="AP350" s="23"/>
      <c r="AQ350" s="23"/>
      <c r="AR350" s="23"/>
      <c r="AS350" s="23" t="str">
        <f t="shared" si="61"/>
        <v>Yes</v>
      </c>
      <c r="AT350" s="29" t="str">
        <f t="shared" si="59"/>
        <v>Yes</v>
      </c>
      <c r="AU350" s="30"/>
      <c r="AV350" s="31"/>
      <c r="AW350" s="31" t="s">
        <v>59</v>
      </c>
      <c r="AX350" s="2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</row>
    <row r="351" spans="1:74" x14ac:dyDescent="0.25">
      <c r="A351" s="25">
        <v>347</v>
      </c>
      <c r="B351" s="23" t="s">
        <v>993</v>
      </c>
      <c r="C351" s="23" t="s">
        <v>994</v>
      </c>
      <c r="D351" s="26" t="s">
        <v>995</v>
      </c>
      <c r="E351" s="23">
        <v>18</v>
      </c>
      <c r="F351" s="23" t="s">
        <v>440</v>
      </c>
      <c r="G351" s="23">
        <f>VLOOKUP(C351,[2]Sheet2!$T$3:$V$92,3,FALSE)</f>
        <v>59</v>
      </c>
      <c r="H351" s="23" t="s">
        <v>54</v>
      </c>
      <c r="I351" s="23" t="s">
        <v>436</v>
      </c>
      <c r="J351" s="23"/>
      <c r="L351" s="23"/>
      <c r="M351" s="23"/>
      <c r="N351" s="23" t="s">
        <v>56</v>
      </c>
      <c r="O351" s="23" t="e">
        <f ca="1">IF(ISNUMBER(SEARCH("to", N351)),
_xlfn.LET(
    _xlpm.text_n3, N351,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51" s="23"/>
      <c r="Q351" s="23" t="s">
        <v>57</v>
      </c>
      <c r="R351" s="27"/>
      <c r="S351" s="27"/>
      <c r="T351" s="23">
        <v>20129341</v>
      </c>
      <c r="U351" s="28">
        <v>5340407996149</v>
      </c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 t="s">
        <v>42</v>
      </c>
      <c r="AN351" s="23"/>
      <c r="AO351" s="23"/>
      <c r="AP351" s="23"/>
      <c r="AQ351" s="23" t="s">
        <v>58</v>
      </c>
      <c r="AR351" s="23"/>
      <c r="AS351" s="23" t="str">
        <f t="shared" ref="AS351:AS357" si="62">IF(AND(AN351="Yes", AO351="Yes", AP351="Yes"), "Yes", IF(AND(AN351="", AO351="", AP351=""), "No", "Incomplete"))</f>
        <v>No</v>
      </c>
      <c r="AT351" s="29" t="str">
        <f t="shared" si="59"/>
        <v>Yes</v>
      </c>
      <c r="AU351" s="30"/>
      <c r="AV351" s="31"/>
      <c r="AW351" s="31" t="s">
        <v>59</v>
      </c>
      <c r="AX351" s="2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</row>
    <row r="352" spans="1:74" ht="28.5" x14ac:dyDescent="0.25">
      <c r="A352" s="25">
        <v>348</v>
      </c>
      <c r="B352" s="23" t="s">
        <v>996</v>
      </c>
      <c r="C352" s="23" t="s">
        <v>994</v>
      </c>
      <c r="D352" s="26" t="s">
        <v>997</v>
      </c>
      <c r="E352" s="23">
        <v>17</v>
      </c>
      <c r="F352" s="23" t="s">
        <v>586</v>
      </c>
      <c r="G352" s="23">
        <f>VLOOKUP(C352,[2]Sheet2!$T$3:$V$92,3,FALSE)</f>
        <v>59</v>
      </c>
      <c r="H352" s="23" t="s">
        <v>54</v>
      </c>
      <c r="I352" s="23" t="s">
        <v>436</v>
      </c>
      <c r="J352" s="23"/>
      <c r="L352" s="23"/>
      <c r="M352" s="23"/>
      <c r="N352" s="23" t="s">
        <v>998</v>
      </c>
      <c r="O352" s="23" t="e">
        <f ca="1">IF(ISNUMBER(SEARCH("to", N352)),
_xlfn.LET(
    _xlpm.text_n3, N352,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52" s="23"/>
      <c r="Q352" s="23" t="s">
        <v>57</v>
      </c>
      <c r="R352" s="27"/>
      <c r="S352" s="27"/>
      <c r="T352" s="23">
        <v>50626284</v>
      </c>
      <c r="U352" s="28">
        <v>4320451295857</v>
      </c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 t="s">
        <v>41</v>
      </c>
      <c r="AN352" s="32" t="s">
        <v>58</v>
      </c>
      <c r="AO352" s="32" t="s">
        <v>58</v>
      </c>
      <c r="AP352" s="32" t="s">
        <v>58</v>
      </c>
      <c r="AQ352" s="23"/>
      <c r="AR352" s="23"/>
      <c r="AS352" s="23" t="str">
        <f t="shared" si="62"/>
        <v>Yes</v>
      </c>
      <c r="AT352" s="29" t="str">
        <f t="shared" si="59"/>
        <v>Yes</v>
      </c>
      <c r="AU352" s="30"/>
      <c r="AV352" s="31"/>
      <c r="AW352" s="31" t="s">
        <v>59</v>
      </c>
      <c r="AX352" s="2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</row>
    <row r="353" spans="1:74" ht="28.5" x14ac:dyDescent="0.25">
      <c r="A353" s="25">
        <v>349</v>
      </c>
      <c r="B353" s="23" t="s">
        <v>999</v>
      </c>
      <c r="C353" s="23" t="s">
        <v>994</v>
      </c>
      <c r="D353" s="26" t="s">
        <v>1000</v>
      </c>
      <c r="E353" s="23">
        <v>16</v>
      </c>
      <c r="F353" s="23" t="s">
        <v>67</v>
      </c>
      <c r="G353" s="23">
        <f>VLOOKUP(C353,[2]Sheet2!$T$3:$V$92,3,FALSE)</f>
        <v>59</v>
      </c>
      <c r="H353" s="23" t="s">
        <v>68</v>
      </c>
      <c r="I353" s="23" t="s">
        <v>436</v>
      </c>
      <c r="J353" s="23"/>
      <c r="K353" s="6">
        <v>0</v>
      </c>
      <c r="L353" s="23"/>
      <c r="M353" s="23"/>
      <c r="N353" s="23" t="s">
        <v>95</v>
      </c>
      <c r="O353" s="23" t="str">
        <f t="shared" ref="O353:O364" si="63">IF(DATEVALUE(MID(N353,15,10))-DATEVALUE(LEFT(N353,10))+1&gt;=365,"1 Year",
DATEDIF(DATEVALUE(LEFT(N353,10)),DATEVALUE(MID(N353,15,10)),"Y")&amp;" Years, "&amp;DATEDIF(DATEVALUE(LEFT(N353,10)),DATEVALUE(MID(N353,15,10)),"YM")&amp;" Months, "&amp;DATEDIF(DATEVALUE(LEFT(N353,10)),DATEVALUE(MID(N353,15,10)),"MD")&amp;" Days")</f>
        <v>1 Year</v>
      </c>
      <c r="P353" s="23" t="s">
        <v>428</v>
      </c>
      <c r="Q353" s="23" t="s">
        <v>812</v>
      </c>
      <c r="R353" s="27"/>
      <c r="S353" s="27"/>
      <c r="T353" s="23">
        <v>50256511</v>
      </c>
      <c r="U353" s="28">
        <v>4230111019887</v>
      </c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 t="s">
        <v>41</v>
      </c>
      <c r="AN353" s="23" t="s">
        <v>121</v>
      </c>
      <c r="AO353" s="23" t="s">
        <v>121</v>
      </c>
      <c r="AP353" s="32" t="s">
        <v>58</v>
      </c>
      <c r="AQ353" s="23"/>
      <c r="AR353" s="23"/>
      <c r="AS353" s="23" t="str">
        <f t="shared" si="62"/>
        <v>Incomplete</v>
      </c>
      <c r="AT353" s="29" t="str">
        <f t="shared" si="59"/>
        <v>Yes</v>
      </c>
      <c r="AU353" s="30"/>
      <c r="AV353" s="31"/>
      <c r="AW353" s="31" t="s">
        <v>59</v>
      </c>
      <c r="AX353" s="2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</row>
    <row r="354" spans="1:74" x14ac:dyDescent="0.25">
      <c r="A354" s="25">
        <v>350</v>
      </c>
      <c r="B354" s="23" t="s">
        <v>1001</v>
      </c>
      <c r="C354" s="23" t="s">
        <v>994</v>
      </c>
      <c r="D354" s="26" t="s">
        <v>1002</v>
      </c>
      <c r="E354" s="23">
        <v>15</v>
      </c>
      <c r="F354" s="23" t="s">
        <v>108</v>
      </c>
      <c r="G354" s="23">
        <f>VLOOKUP(C354,[2]Sheet2!$T$3:$V$92,3,FALSE)</f>
        <v>59</v>
      </c>
      <c r="H354" s="23" t="s">
        <v>68</v>
      </c>
      <c r="I354" s="23" t="s">
        <v>436</v>
      </c>
      <c r="J354" s="23"/>
      <c r="K354" s="6">
        <v>0</v>
      </c>
      <c r="L354" s="23"/>
      <c r="M354" s="23"/>
      <c r="N354" s="23"/>
      <c r="O354" s="23" t="e">
        <f t="shared" si="63"/>
        <v>#VALUE!</v>
      </c>
      <c r="P354" s="23"/>
      <c r="Q354" s="23"/>
      <c r="R354" s="27"/>
      <c r="S354" s="27"/>
      <c r="T354" s="23">
        <v>50684041</v>
      </c>
      <c r="U354" s="28">
        <v>4320340939357</v>
      </c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 t="s">
        <v>41</v>
      </c>
      <c r="AN354" s="32" t="s">
        <v>58</v>
      </c>
      <c r="AO354" s="32" t="s">
        <v>58</v>
      </c>
      <c r="AP354" s="32" t="s">
        <v>58</v>
      </c>
      <c r="AQ354" s="23"/>
      <c r="AR354" s="23"/>
      <c r="AS354" s="23" t="str">
        <f t="shared" si="62"/>
        <v>Yes</v>
      </c>
      <c r="AT354" s="29" t="str">
        <f t="shared" si="59"/>
        <v>Yes</v>
      </c>
      <c r="AU354" s="30"/>
      <c r="AV354" s="31"/>
      <c r="AW354" s="31" t="s">
        <v>59</v>
      </c>
      <c r="AX354" s="2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</row>
    <row r="355" spans="1:74" x14ac:dyDescent="0.25">
      <c r="A355" s="25">
        <v>351</v>
      </c>
      <c r="B355" s="23" t="s">
        <v>1003</v>
      </c>
      <c r="C355" s="23" t="s">
        <v>994</v>
      </c>
      <c r="D355" s="26" t="s">
        <v>1004</v>
      </c>
      <c r="E355" s="23">
        <v>15</v>
      </c>
      <c r="F355" s="23" t="s">
        <v>108</v>
      </c>
      <c r="G355" s="23">
        <f>VLOOKUP(C355,[2]Sheet2!$T$3:$V$92,3,FALSE)</f>
        <v>59</v>
      </c>
      <c r="H355" s="23" t="s">
        <v>68</v>
      </c>
      <c r="I355" s="23" t="s">
        <v>436</v>
      </c>
      <c r="J355" s="23"/>
      <c r="K355" s="6">
        <v>0</v>
      </c>
      <c r="L355" s="23"/>
      <c r="M355" s="23"/>
      <c r="N355" s="23"/>
      <c r="O355" s="23" t="e">
        <f t="shared" si="63"/>
        <v>#VALUE!</v>
      </c>
      <c r="P355" s="23"/>
      <c r="Q355" s="23"/>
      <c r="R355" s="27"/>
      <c r="S355" s="27"/>
      <c r="T355" s="23">
        <v>10770605</v>
      </c>
      <c r="U355" s="28">
        <v>4320318113261</v>
      </c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 t="s">
        <v>42</v>
      </c>
      <c r="AN355" s="23"/>
      <c r="AO355" s="23" t="s">
        <v>189</v>
      </c>
      <c r="AP355" s="23" t="s">
        <v>58</v>
      </c>
      <c r="AQ355" s="32" t="s">
        <v>58</v>
      </c>
      <c r="AR355" s="23"/>
      <c r="AS355" s="23" t="str">
        <f t="shared" si="62"/>
        <v>Incomplete</v>
      </c>
      <c r="AT355" s="29" t="str">
        <f t="shared" si="59"/>
        <v>Yes</v>
      </c>
      <c r="AU355" s="30"/>
      <c r="AV355" s="31"/>
      <c r="AW355" s="31" t="s">
        <v>59</v>
      </c>
      <c r="AX355" s="2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</row>
    <row r="356" spans="1:74" x14ac:dyDescent="0.25">
      <c r="A356" s="25">
        <v>352</v>
      </c>
      <c r="B356" s="23" t="s">
        <v>1005</v>
      </c>
      <c r="C356" s="23" t="s">
        <v>994</v>
      </c>
      <c r="D356" s="26" t="s">
        <v>1006</v>
      </c>
      <c r="E356" s="23">
        <v>15</v>
      </c>
      <c r="F356" s="23" t="s">
        <v>108</v>
      </c>
      <c r="G356" s="23">
        <f>VLOOKUP(C356,[2]Sheet2!$T$3:$V$92,3,FALSE)</f>
        <v>59</v>
      </c>
      <c r="H356" s="23" t="s">
        <v>68</v>
      </c>
      <c r="I356" s="23" t="s">
        <v>436</v>
      </c>
      <c r="J356" s="23"/>
      <c r="K356" s="6">
        <v>0</v>
      </c>
      <c r="L356" s="23"/>
      <c r="M356" s="23"/>
      <c r="N356" s="23"/>
      <c r="O356" s="23" t="e">
        <f t="shared" si="63"/>
        <v>#VALUE!</v>
      </c>
      <c r="P356" s="23"/>
      <c r="Q356" s="23"/>
      <c r="R356" s="27"/>
      <c r="S356" s="27"/>
      <c r="T356" s="23">
        <v>50171841</v>
      </c>
      <c r="U356" s="28">
        <v>4320308722681</v>
      </c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 t="s">
        <v>41</v>
      </c>
      <c r="AN356" s="32" t="s">
        <v>58</v>
      </c>
      <c r="AO356" s="32" t="s">
        <v>58</v>
      </c>
      <c r="AP356" s="32" t="s">
        <v>58</v>
      </c>
      <c r="AQ356" s="23"/>
      <c r="AR356" s="23" t="s">
        <v>882</v>
      </c>
      <c r="AS356" s="23" t="str">
        <f t="shared" si="62"/>
        <v>Yes</v>
      </c>
      <c r="AT356" s="29" t="str">
        <f t="shared" si="59"/>
        <v>Yes</v>
      </c>
      <c r="AU356" s="30"/>
      <c r="AV356" s="31" t="s">
        <v>64</v>
      </c>
      <c r="AW356" s="31" t="s">
        <v>59</v>
      </c>
      <c r="AX356" s="2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</row>
    <row r="357" spans="1:74" x14ac:dyDescent="0.25">
      <c r="A357" s="25">
        <v>353</v>
      </c>
      <c r="B357" s="23" t="s">
        <v>1007</v>
      </c>
      <c r="C357" s="23" t="s">
        <v>994</v>
      </c>
      <c r="D357" s="26" t="s">
        <v>66</v>
      </c>
      <c r="E357" s="23">
        <v>13</v>
      </c>
      <c r="F357" s="23" t="s">
        <v>131</v>
      </c>
      <c r="G357" s="23">
        <f>VLOOKUP(C357,[2]Sheet2!$T$3:$V$92,3,FALSE)</f>
        <v>59</v>
      </c>
      <c r="H357" s="23" t="s">
        <v>68</v>
      </c>
      <c r="I357" s="23" t="s">
        <v>436</v>
      </c>
      <c r="J357" s="23" t="e">
        <v>#N/A</v>
      </c>
      <c r="K357" s="6" t="e">
        <v>#N/A</v>
      </c>
      <c r="L357" s="23" t="e">
        <v>#N/A</v>
      </c>
      <c r="M357" s="23"/>
      <c r="N357" s="23"/>
      <c r="O357" s="23" t="e">
        <f t="shared" si="63"/>
        <v>#VALUE!</v>
      </c>
      <c r="P357" s="23"/>
      <c r="Q357" s="23"/>
      <c r="R357" s="27"/>
      <c r="S357" s="27"/>
      <c r="T357" s="23"/>
      <c r="U357" s="28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 t="s">
        <v>66</v>
      </c>
      <c r="AN357" s="23"/>
      <c r="AO357" s="23"/>
      <c r="AP357" s="23"/>
      <c r="AQ357" s="23"/>
      <c r="AR357" s="23"/>
      <c r="AS357" s="23" t="str">
        <f t="shared" si="62"/>
        <v>No</v>
      </c>
      <c r="AT357" s="29" t="str">
        <f t="shared" si="59"/>
        <v>Vacant</v>
      </c>
      <c r="AU357" s="30"/>
      <c r="AV357" s="31"/>
      <c r="AW357" s="31"/>
      <c r="AX357" s="2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</row>
    <row r="358" spans="1:74" ht="28.5" x14ac:dyDescent="0.25">
      <c r="A358" s="25">
        <v>354</v>
      </c>
      <c r="B358" s="23" t="s">
        <v>1008</v>
      </c>
      <c r="C358" s="23" t="s">
        <v>994</v>
      </c>
      <c r="D358" s="26" t="s">
        <v>1009</v>
      </c>
      <c r="E358" s="23">
        <v>11</v>
      </c>
      <c r="F358" s="23" t="s">
        <v>138</v>
      </c>
      <c r="G358" s="23">
        <f>VLOOKUP(C358,[2]Sheet2!$T$3:$V$92,3,FALSE)</f>
        <v>59</v>
      </c>
      <c r="H358" s="23" t="s">
        <v>68</v>
      </c>
      <c r="I358" s="23" t="s">
        <v>436</v>
      </c>
      <c r="J358" s="23"/>
      <c r="K358" s="6">
        <v>0</v>
      </c>
      <c r="L358" s="23"/>
      <c r="M358" s="23"/>
      <c r="N358" s="23" t="s">
        <v>95</v>
      </c>
      <c r="O358" s="23" t="str">
        <f t="shared" si="63"/>
        <v>1 Year</v>
      </c>
      <c r="P358" s="23" t="s">
        <v>1010</v>
      </c>
      <c r="Q358" s="23" t="s">
        <v>812</v>
      </c>
      <c r="R358" s="27"/>
      <c r="S358" s="27"/>
      <c r="T358" s="23">
        <v>50673072</v>
      </c>
      <c r="U358" s="28">
        <v>4340103715901</v>
      </c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 t="s">
        <v>41</v>
      </c>
      <c r="AN358" s="23"/>
      <c r="AO358" s="23" t="s">
        <v>58</v>
      </c>
      <c r="AP358" s="32" t="s">
        <v>58</v>
      </c>
      <c r="AQ358" s="23"/>
      <c r="AR358" s="23"/>
      <c r="AS358" s="23" t="str">
        <f t="shared" ref="AS358:AS364" si="64">IF(AND(AN358="Yes"), "Yes", IF(AND(AN358=""), "No", "Incomplete"))</f>
        <v>No</v>
      </c>
      <c r="AT358" s="29" t="str">
        <f t="shared" si="59"/>
        <v>Yes</v>
      </c>
      <c r="AU358" s="30"/>
      <c r="AV358" s="31"/>
      <c r="AW358" s="31" t="s">
        <v>59</v>
      </c>
      <c r="AX358" s="2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</row>
    <row r="359" spans="1:74" ht="28.5" x14ac:dyDescent="0.25">
      <c r="A359" s="25">
        <v>355</v>
      </c>
      <c r="B359" s="23" t="s">
        <v>1011</v>
      </c>
      <c r="C359" s="23" t="s">
        <v>994</v>
      </c>
      <c r="D359" s="26" t="s">
        <v>1012</v>
      </c>
      <c r="E359" s="23">
        <v>11</v>
      </c>
      <c r="F359" s="23" t="s">
        <v>138</v>
      </c>
      <c r="G359" s="23">
        <f>VLOOKUP(C359,[2]Sheet2!$T$3:$V$92,3,FALSE)</f>
        <v>59</v>
      </c>
      <c r="H359" s="23" t="s">
        <v>68</v>
      </c>
      <c r="I359" s="23" t="s">
        <v>436</v>
      </c>
      <c r="J359" s="23"/>
      <c r="K359" s="6">
        <v>0</v>
      </c>
      <c r="L359" s="23"/>
      <c r="M359" s="23"/>
      <c r="N359" s="23" t="s">
        <v>95</v>
      </c>
      <c r="O359" s="23" t="str">
        <f t="shared" si="63"/>
        <v>1 Year</v>
      </c>
      <c r="P359" s="23" t="s">
        <v>1010</v>
      </c>
      <c r="Q359" s="23" t="s">
        <v>812</v>
      </c>
      <c r="R359" s="27"/>
      <c r="S359" s="27"/>
      <c r="T359" s="23">
        <v>50743580</v>
      </c>
      <c r="U359" s="28">
        <v>4340205054227</v>
      </c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 t="s">
        <v>41</v>
      </c>
      <c r="AN359" s="23"/>
      <c r="AO359" s="23" t="s">
        <v>58</v>
      </c>
      <c r="AP359" s="32" t="s">
        <v>58</v>
      </c>
      <c r="AQ359" s="23"/>
      <c r="AR359" s="23"/>
      <c r="AS359" s="23" t="str">
        <f t="shared" si="64"/>
        <v>No</v>
      </c>
      <c r="AT359" s="29" t="str">
        <f t="shared" si="59"/>
        <v>Yes</v>
      </c>
      <c r="AU359" s="30"/>
      <c r="AV359" s="31"/>
      <c r="AW359" s="31" t="s">
        <v>59</v>
      </c>
      <c r="AX359" s="2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</row>
    <row r="360" spans="1:74" ht="28.5" x14ac:dyDescent="0.25">
      <c r="A360" s="25">
        <v>356</v>
      </c>
      <c r="B360" s="23" t="s">
        <v>1013</v>
      </c>
      <c r="C360" s="23" t="s">
        <v>994</v>
      </c>
      <c r="D360" s="26" t="s">
        <v>1014</v>
      </c>
      <c r="E360" s="23">
        <v>7</v>
      </c>
      <c r="F360" s="23" t="s">
        <v>264</v>
      </c>
      <c r="G360" s="23">
        <f>VLOOKUP(C360,[2]Sheet2!$T$3:$V$92,3,FALSE)</f>
        <v>59</v>
      </c>
      <c r="H360" s="23" t="s">
        <v>68</v>
      </c>
      <c r="I360" s="23" t="s">
        <v>436</v>
      </c>
      <c r="J360" s="23"/>
      <c r="K360" s="6">
        <v>0</v>
      </c>
      <c r="L360" s="23"/>
      <c r="M360" s="23"/>
      <c r="N360" s="23" t="s">
        <v>1015</v>
      </c>
      <c r="O360" s="23" t="str">
        <f t="shared" si="63"/>
        <v>1 Year</v>
      </c>
      <c r="P360" s="23"/>
      <c r="Q360" s="23" t="s">
        <v>812</v>
      </c>
      <c r="R360" s="27"/>
      <c r="S360" s="27"/>
      <c r="T360" s="23">
        <v>50553079</v>
      </c>
      <c r="U360" s="28">
        <v>4340203961917</v>
      </c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 t="s">
        <v>73</v>
      </c>
      <c r="AN360" s="23"/>
      <c r="AO360" s="23"/>
      <c r="AP360" s="23"/>
      <c r="AQ360" s="23"/>
      <c r="AR360" s="23"/>
      <c r="AS360" s="23" t="str">
        <f t="shared" si="64"/>
        <v>No</v>
      </c>
      <c r="AT360" s="29" t="str">
        <f t="shared" si="59"/>
        <v>NA</v>
      </c>
      <c r="AU360" s="30"/>
      <c r="AV360" s="31" t="s">
        <v>64</v>
      </c>
      <c r="AW360" s="31" t="s">
        <v>59</v>
      </c>
      <c r="AX360" s="2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</row>
    <row r="361" spans="1:74" x14ac:dyDescent="0.25">
      <c r="A361" s="25">
        <v>357</v>
      </c>
      <c r="B361" s="23" t="s">
        <v>1016</v>
      </c>
      <c r="C361" s="23" t="s">
        <v>994</v>
      </c>
      <c r="D361" s="26" t="s">
        <v>1017</v>
      </c>
      <c r="E361" s="23">
        <v>4</v>
      </c>
      <c r="F361" s="23" t="s">
        <v>161</v>
      </c>
      <c r="G361" s="23">
        <f>VLOOKUP(C361,[2]Sheet2!$T$3:$V$92,3,FALSE)</f>
        <v>59</v>
      </c>
      <c r="H361" s="23" t="s">
        <v>68</v>
      </c>
      <c r="I361" s="23" t="s">
        <v>436</v>
      </c>
      <c r="J361" s="23"/>
      <c r="K361" s="6">
        <v>0</v>
      </c>
      <c r="L361" s="23"/>
      <c r="M361" s="63" t="s">
        <v>846</v>
      </c>
      <c r="N361" s="63"/>
      <c r="O361" s="23" t="e">
        <f t="shared" si="63"/>
        <v>#VALUE!</v>
      </c>
      <c r="P361" s="63"/>
      <c r="Q361" s="63"/>
      <c r="R361" s="64">
        <v>39227</v>
      </c>
      <c r="S361" s="64">
        <v>39227</v>
      </c>
      <c r="T361" s="23">
        <v>10499445</v>
      </c>
      <c r="U361" s="28">
        <v>4320278336047</v>
      </c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 t="s">
        <v>73</v>
      </c>
      <c r="AN361" s="23"/>
      <c r="AO361" s="23"/>
      <c r="AP361" s="23"/>
      <c r="AQ361" s="23"/>
      <c r="AR361" s="23"/>
      <c r="AS361" s="23" t="str">
        <f t="shared" si="64"/>
        <v>No</v>
      </c>
      <c r="AT361" s="29" t="str">
        <f t="shared" si="59"/>
        <v>NA</v>
      </c>
      <c r="AU361" s="30"/>
      <c r="AV361" s="31"/>
      <c r="AW361" s="31" t="s">
        <v>59</v>
      </c>
      <c r="AX361" s="2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</row>
    <row r="362" spans="1:74" x14ac:dyDescent="0.25">
      <c r="A362" s="25">
        <v>358</v>
      </c>
      <c r="B362" s="23" t="s">
        <v>1018</v>
      </c>
      <c r="C362" s="23" t="s">
        <v>994</v>
      </c>
      <c r="D362" s="26" t="s">
        <v>1019</v>
      </c>
      <c r="E362" s="23">
        <v>4</v>
      </c>
      <c r="F362" s="23" t="s">
        <v>161</v>
      </c>
      <c r="G362" s="23">
        <f>VLOOKUP(C362,[2]Sheet2!$T$3:$V$92,3,FALSE)</f>
        <v>59</v>
      </c>
      <c r="H362" s="23" t="s">
        <v>68</v>
      </c>
      <c r="I362" s="23" t="s">
        <v>436</v>
      </c>
      <c r="J362" s="23"/>
      <c r="K362" s="6">
        <v>0</v>
      </c>
      <c r="L362" s="23"/>
      <c r="M362" s="43" t="s">
        <v>634</v>
      </c>
      <c r="N362" s="43"/>
      <c r="O362" s="23" t="e">
        <f t="shared" si="63"/>
        <v>#VALUE!</v>
      </c>
      <c r="P362" s="43"/>
      <c r="Q362" s="43"/>
      <c r="R362" s="44">
        <v>41456</v>
      </c>
      <c r="S362" s="44">
        <v>41456</v>
      </c>
      <c r="T362" s="23">
        <v>50193029</v>
      </c>
      <c r="U362" s="28">
        <v>4550477564055</v>
      </c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 t="s">
        <v>40</v>
      </c>
      <c r="AN362" s="23" t="s">
        <v>58</v>
      </c>
      <c r="AO362" s="23" t="s">
        <v>58</v>
      </c>
      <c r="AP362" s="23"/>
      <c r="AQ362" s="23"/>
      <c r="AR362" s="23"/>
      <c r="AS362" s="23" t="str">
        <f t="shared" si="64"/>
        <v>Yes</v>
      </c>
      <c r="AT362" s="29" t="str">
        <f t="shared" si="59"/>
        <v>Yes</v>
      </c>
      <c r="AU362" s="30"/>
      <c r="AV362" s="31"/>
      <c r="AW362" s="31" t="s">
        <v>59</v>
      </c>
      <c r="AX362" s="2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</row>
    <row r="363" spans="1:74" x14ac:dyDescent="0.25">
      <c r="A363" s="25">
        <v>359</v>
      </c>
      <c r="B363" s="23" t="s">
        <v>1020</v>
      </c>
      <c r="C363" s="23" t="s">
        <v>994</v>
      </c>
      <c r="D363" s="26" t="s">
        <v>1021</v>
      </c>
      <c r="E363" s="23">
        <v>4</v>
      </c>
      <c r="F363" s="23" t="s">
        <v>71</v>
      </c>
      <c r="G363" s="23">
        <f>VLOOKUP(C363,[2]Sheet2!$T$3:$V$92,3,FALSE)</f>
        <v>59</v>
      </c>
      <c r="H363" s="23" t="s">
        <v>68</v>
      </c>
      <c r="I363" s="23" t="s">
        <v>436</v>
      </c>
      <c r="J363" s="23"/>
      <c r="K363" s="6">
        <v>0</v>
      </c>
      <c r="L363" s="23"/>
      <c r="M363" s="23"/>
      <c r="N363" s="23"/>
      <c r="O363" s="23" t="e">
        <f t="shared" si="63"/>
        <v>#VALUE!</v>
      </c>
      <c r="P363" s="23"/>
      <c r="Q363" s="23"/>
      <c r="R363" s="27"/>
      <c r="S363" s="27"/>
      <c r="T363" s="23">
        <v>50698881</v>
      </c>
      <c r="U363" s="28">
        <v>4330465772007</v>
      </c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 t="s">
        <v>39</v>
      </c>
      <c r="AN363" s="23" t="s">
        <v>58</v>
      </c>
      <c r="AO363" s="23"/>
      <c r="AP363" s="23"/>
      <c r="AQ363" s="23"/>
      <c r="AR363" s="23"/>
      <c r="AS363" s="23" t="str">
        <f t="shared" si="64"/>
        <v>Yes</v>
      </c>
      <c r="AT363" s="29" t="str">
        <f t="shared" si="59"/>
        <v>Yes</v>
      </c>
      <c r="AU363" s="30"/>
      <c r="AV363" s="31"/>
      <c r="AW363" s="31" t="s">
        <v>59</v>
      </c>
      <c r="AX363" s="2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</row>
    <row r="364" spans="1:74" x14ac:dyDescent="0.25">
      <c r="A364" s="25">
        <v>360</v>
      </c>
      <c r="B364" s="23" t="s">
        <v>1022</v>
      </c>
      <c r="C364" s="23" t="s">
        <v>994</v>
      </c>
      <c r="D364" s="41" t="s">
        <v>1023</v>
      </c>
      <c r="E364" s="23">
        <v>2</v>
      </c>
      <c r="F364" s="23" t="s">
        <v>71</v>
      </c>
      <c r="G364" s="23">
        <f>VLOOKUP(C364,[2]Sheet2!$T$3:$V$92,3,FALSE)</f>
        <v>59</v>
      </c>
      <c r="H364" s="23" t="s">
        <v>68</v>
      </c>
      <c r="I364" s="23" t="s">
        <v>436</v>
      </c>
      <c r="J364" s="23"/>
      <c r="K364" s="6">
        <v>0</v>
      </c>
      <c r="L364" s="23"/>
      <c r="M364" s="23"/>
      <c r="N364" s="23"/>
      <c r="O364" s="23" t="e">
        <f t="shared" si="63"/>
        <v>#VALUE!</v>
      </c>
      <c r="P364" s="23"/>
      <c r="Q364" s="23"/>
      <c r="R364" s="27"/>
      <c r="S364" s="27"/>
      <c r="T364" s="23"/>
      <c r="U364" s="28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 t="s">
        <v>40</v>
      </c>
      <c r="AN364" s="23"/>
      <c r="AO364" s="32" t="s">
        <v>58</v>
      </c>
      <c r="AP364" s="23"/>
      <c r="AQ364" s="23"/>
      <c r="AR364" s="23"/>
      <c r="AS364" s="23" t="str">
        <f t="shared" si="64"/>
        <v>No</v>
      </c>
      <c r="AT364" s="29" t="str">
        <f t="shared" si="59"/>
        <v>Yes</v>
      </c>
      <c r="AU364" s="30"/>
      <c r="AV364" s="31"/>
      <c r="AW364" s="31"/>
      <c r="AX364" s="2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</row>
    <row r="365" spans="1:74" x14ac:dyDescent="0.25">
      <c r="A365" s="25">
        <v>361</v>
      </c>
      <c r="B365" s="23" t="s">
        <v>1024</v>
      </c>
      <c r="C365" s="23" t="s">
        <v>1025</v>
      </c>
      <c r="D365" s="26" t="s">
        <v>66</v>
      </c>
      <c r="E365" s="23">
        <v>18</v>
      </c>
      <c r="F365" s="23" t="s">
        <v>557</v>
      </c>
      <c r="G365" s="23">
        <f>VLOOKUP(C365,[2]Sheet2!$T$3:$V$92,3,FALSE)</f>
        <v>60</v>
      </c>
      <c r="H365" s="23" t="s">
        <v>54</v>
      </c>
      <c r="I365" s="23" t="s">
        <v>436</v>
      </c>
      <c r="J365" s="23"/>
      <c r="L365" s="23"/>
      <c r="M365" s="23"/>
      <c r="N365" s="23"/>
      <c r="O365" s="23" t="str">
        <f>IF(ISNUMBER(SEARCH("to", N365)),
_xlfn.LET(
    _xlpm.first_line, LEFT(N365, IFERROR(SEARCH(CHAR(10), N365)-1, LEN(N365))),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365" s="23"/>
      <c r="Q365" s="23"/>
      <c r="R365" s="27"/>
      <c r="S365" s="27"/>
      <c r="T365" s="23"/>
      <c r="U365" s="28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 t="s">
        <v>66</v>
      </c>
      <c r="AN365" s="23"/>
      <c r="AO365" s="23"/>
      <c r="AP365" s="23"/>
      <c r="AQ365" s="23"/>
      <c r="AR365" s="23"/>
      <c r="AS365" s="23" t="str">
        <f t="shared" ref="AS365:AS370" si="65">IF(AND(AN365="Yes", AO365="Yes", AP365="Yes"), "Yes", IF(AND(AN365="", AO365="", AP365=""), "No", "Incomplete"))</f>
        <v>No</v>
      </c>
      <c r="AT365" s="29" t="str">
        <f t="shared" si="59"/>
        <v>Vacant</v>
      </c>
      <c r="AU365" s="30"/>
      <c r="AV365" s="31"/>
      <c r="AW365" s="31"/>
      <c r="AX365" s="2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</row>
    <row r="366" spans="1:74" x14ac:dyDescent="0.25">
      <c r="A366" s="25">
        <v>362</v>
      </c>
      <c r="B366" s="23" t="s">
        <v>1026</v>
      </c>
      <c r="C366" s="23" t="s">
        <v>1025</v>
      </c>
      <c r="D366" s="26" t="s">
        <v>1027</v>
      </c>
      <c r="E366" s="23">
        <v>18</v>
      </c>
      <c r="F366" s="23" t="s">
        <v>555</v>
      </c>
      <c r="G366" s="23">
        <f>VLOOKUP(C366,[2]Sheet2!$T$3:$V$92,3,FALSE)</f>
        <v>60</v>
      </c>
      <c r="H366" s="23" t="s">
        <v>54</v>
      </c>
      <c r="I366" s="23" t="s">
        <v>436</v>
      </c>
      <c r="J366" s="23"/>
      <c r="L366" s="23"/>
      <c r="M366" s="23"/>
      <c r="N366" s="23" t="s">
        <v>56</v>
      </c>
      <c r="O366" s="23" t="e">
        <f ca="1">IF(ISNUMBER(SEARCH("to", N366)),
_xlfn.LET(
    _xlpm.text_n3, N366,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66" s="23"/>
      <c r="Q366" s="23" t="s">
        <v>57</v>
      </c>
      <c r="R366" s="27"/>
      <c r="S366" s="27"/>
      <c r="T366" s="23">
        <v>10450485</v>
      </c>
      <c r="U366" s="28">
        <v>4230152245479</v>
      </c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 t="s">
        <v>42</v>
      </c>
      <c r="AN366" s="23"/>
      <c r="AO366" s="23"/>
      <c r="AP366" s="23" t="s">
        <v>58</v>
      </c>
      <c r="AQ366" s="32" t="s">
        <v>58</v>
      </c>
      <c r="AR366" s="23"/>
      <c r="AS366" s="23" t="str">
        <f t="shared" si="65"/>
        <v>Incomplete</v>
      </c>
      <c r="AT366" s="29" t="str">
        <f t="shared" si="59"/>
        <v>Yes</v>
      </c>
      <c r="AU366" s="30"/>
      <c r="AV366" s="31"/>
      <c r="AW366" s="31" t="s">
        <v>59</v>
      </c>
      <c r="AX366" s="2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</row>
    <row r="367" spans="1:74" x14ac:dyDescent="0.25">
      <c r="A367" s="25">
        <v>363</v>
      </c>
      <c r="B367" s="23" t="s">
        <v>1028</v>
      </c>
      <c r="C367" s="23" t="s">
        <v>1025</v>
      </c>
      <c r="D367" s="26" t="s">
        <v>1029</v>
      </c>
      <c r="E367" s="23">
        <v>16</v>
      </c>
      <c r="F367" s="23" t="s">
        <v>560</v>
      </c>
      <c r="G367" s="23">
        <f>VLOOKUP(C367,[2]Sheet2!$T$3:$V$92,3,FALSE)</f>
        <v>60</v>
      </c>
      <c r="H367" s="23" t="s">
        <v>54</v>
      </c>
      <c r="I367" s="23" t="s">
        <v>436</v>
      </c>
      <c r="J367" s="23" t="e">
        <v>#N/A</v>
      </c>
      <c r="K367" s="6" t="e">
        <v>#N/A</v>
      </c>
      <c r="L367" s="23" t="e">
        <v>#N/A</v>
      </c>
      <c r="M367" s="23"/>
      <c r="N367" s="23"/>
      <c r="O367" s="23" t="e">
        <f t="shared" ref="O367:O376" si="66">IF(DATEVALUE(MID(N367,15,10))-DATEVALUE(LEFT(N367,10))+1&gt;=365,"1 Year",
DATEDIF(DATEVALUE(LEFT(N367,10)),DATEVALUE(MID(N367,15,10)),"Y")&amp;" Years, "&amp;DATEDIF(DATEVALUE(LEFT(N367,10)),DATEVALUE(MID(N367,15,10)),"YM")&amp;" Months, "&amp;DATEDIF(DATEVALUE(LEFT(N367,10)),DATEVALUE(MID(N367,15,10)),"MD")&amp;" Days")</f>
        <v>#VALUE!</v>
      </c>
      <c r="P367" s="23"/>
      <c r="Q367" s="23"/>
      <c r="R367" s="27"/>
      <c r="S367" s="27"/>
      <c r="T367" s="23"/>
      <c r="U367" s="28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 t="s">
        <v>66</v>
      </c>
      <c r="AN367" s="23"/>
      <c r="AO367" s="23"/>
      <c r="AP367" s="23"/>
      <c r="AQ367" s="23"/>
      <c r="AR367" s="23"/>
      <c r="AS367" s="23" t="str">
        <f t="shared" si="65"/>
        <v>No</v>
      </c>
      <c r="AT367" s="29" t="str">
        <f t="shared" si="59"/>
        <v>Vacant</v>
      </c>
      <c r="AU367" s="30"/>
      <c r="AV367" s="31"/>
      <c r="AW367" s="31"/>
      <c r="AX367" s="2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</row>
    <row r="368" spans="1:74" x14ac:dyDescent="0.25">
      <c r="A368" s="25">
        <v>364</v>
      </c>
      <c r="B368" s="23" t="s">
        <v>1030</v>
      </c>
      <c r="C368" s="23" t="s">
        <v>1025</v>
      </c>
      <c r="D368" s="26" t="s">
        <v>1031</v>
      </c>
      <c r="E368" s="23">
        <v>16</v>
      </c>
      <c r="F368" s="23" t="s">
        <v>62</v>
      </c>
      <c r="G368" s="23">
        <f>VLOOKUP(C368,[2]Sheet2!$T$3:$V$92,3,FALSE)</f>
        <v>60</v>
      </c>
      <c r="H368" s="23" t="s">
        <v>54</v>
      </c>
      <c r="I368" s="23" t="s">
        <v>436</v>
      </c>
      <c r="J368" s="23">
        <v>2</v>
      </c>
      <c r="K368" s="6">
        <v>0.65</v>
      </c>
      <c r="L368" s="23" t="s">
        <v>1032</v>
      </c>
      <c r="M368" s="23"/>
      <c r="N368" s="23"/>
      <c r="O368" s="23" t="e">
        <f t="shared" si="66"/>
        <v>#VALUE!</v>
      </c>
      <c r="P368" s="23"/>
      <c r="Q368" s="23"/>
      <c r="R368" s="27"/>
      <c r="S368" s="27"/>
      <c r="T368" s="23">
        <v>10112639</v>
      </c>
      <c r="U368" s="28">
        <v>4210122325793</v>
      </c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 t="s">
        <v>40</v>
      </c>
      <c r="AN368" s="23" t="s">
        <v>58</v>
      </c>
      <c r="AO368" s="23" t="s">
        <v>58</v>
      </c>
      <c r="AP368" s="23"/>
      <c r="AQ368" s="23"/>
      <c r="AR368" s="23"/>
      <c r="AS368" s="23" t="str">
        <f t="shared" si="65"/>
        <v>Incomplete</v>
      </c>
      <c r="AT368" s="29" t="str">
        <f t="shared" si="59"/>
        <v>Yes</v>
      </c>
      <c r="AU368" s="30"/>
      <c r="AV368" s="31" t="s">
        <v>64</v>
      </c>
      <c r="AW368" s="31" t="s">
        <v>59</v>
      </c>
      <c r="AX368" s="2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</row>
    <row r="369" spans="1:74" x14ac:dyDescent="0.25">
      <c r="A369" s="25">
        <v>374</v>
      </c>
      <c r="B369" s="23" t="s">
        <v>1033</v>
      </c>
      <c r="C369" s="23" t="s">
        <v>1025</v>
      </c>
      <c r="D369" s="26" t="s">
        <v>1034</v>
      </c>
      <c r="E369" s="23">
        <v>16</v>
      </c>
      <c r="F369" s="23" t="s">
        <v>67</v>
      </c>
      <c r="G369" s="23">
        <f>VLOOKUP(C369,[2]Sheet2!$T$3:$V$92,3,FALSE)</f>
        <v>60</v>
      </c>
      <c r="H369" s="23" t="s">
        <v>68</v>
      </c>
      <c r="I369" s="23" t="s">
        <v>436</v>
      </c>
      <c r="J369" s="23"/>
      <c r="K369" s="6">
        <v>0</v>
      </c>
      <c r="L369" s="23" t="s">
        <v>890</v>
      </c>
      <c r="M369" s="23"/>
      <c r="N369" s="23"/>
      <c r="O369" s="23" t="e">
        <f t="shared" si="66"/>
        <v>#VALUE!</v>
      </c>
      <c r="P369" s="23"/>
      <c r="Q369" s="23"/>
      <c r="R369" s="27"/>
      <c r="S369" s="27"/>
      <c r="T369" s="23">
        <v>10425432</v>
      </c>
      <c r="U369" s="28">
        <v>4130791152739</v>
      </c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 t="s">
        <v>41</v>
      </c>
      <c r="AN369" s="23" t="s">
        <v>58</v>
      </c>
      <c r="AO369" s="23" t="s">
        <v>58</v>
      </c>
      <c r="AP369" s="32" t="s">
        <v>58</v>
      </c>
      <c r="AQ369" s="23"/>
      <c r="AR369" s="23"/>
      <c r="AS369" s="23" t="str">
        <f t="shared" si="65"/>
        <v>Yes</v>
      </c>
      <c r="AT369" s="29" t="str">
        <f t="shared" si="59"/>
        <v>Yes</v>
      </c>
      <c r="AU369" s="30"/>
      <c r="AV369" s="31"/>
      <c r="AW369" s="31" t="s">
        <v>59</v>
      </c>
      <c r="AX369" s="2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</row>
    <row r="370" spans="1:74" x14ac:dyDescent="0.25">
      <c r="A370" s="25">
        <v>365</v>
      </c>
      <c r="B370" s="23" t="s">
        <v>1035</v>
      </c>
      <c r="C370" s="23" t="s">
        <v>1025</v>
      </c>
      <c r="D370" s="26" t="s">
        <v>1036</v>
      </c>
      <c r="E370" s="23">
        <v>15</v>
      </c>
      <c r="F370" s="23" t="s">
        <v>108</v>
      </c>
      <c r="G370" s="23">
        <f>VLOOKUP(C370,[2]Sheet2!$T$3:$V$92,3,FALSE)</f>
        <v>60</v>
      </c>
      <c r="H370" s="23" t="s">
        <v>68</v>
      </c>
      <c r="I370" s="23" t="s">
        <v>436</v>
      </c>
      <c r="J370" s="23"/>
      <c r="K370" s="6">
        <v>0</v>
      </c>
      <c r="L370" s="23" t="s">
        <v>890</v>
      </c>
      <c r="M370" s="23"/>
      <c r="N370" s="23"/>
      <c r="O370" s="23" t="e">
        <f t="shared" si="66"/>
        <v>#VALUE!</v>
      </c>
      <c r="P370" s="23"/>
      <c r="Q370" s="23"/>
      <c r="R370" s="27"/>
      <c r="S370" s="27"/>
      <c r="T370" s="23">
        <v>50189310</v>
      </c>
      <c r="U370" s="28" t="s">
        <v>1037</v>
      </c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 t="s">
        <v>42</v>
      </c>
      <c r="AN370" s="32" t="s">
        <v>58</v>
      </c>
      <c r="AO370" s="32" t="s">
        <v>58</v>
      </c>
      <c r="AP370" s="32" t="s">
        <v>58</v>
      </c>
      <c r="AQ370" s="32" t="s">
        <v>58</v>
      </c>
      <c r="AR370" s="23"/>
      <c r="AS370" s="23" t="str">
        <f t="shared" si="65"/>
        <v>Yes</v>
      </c>
      <c r="AT370" s="29" t="str">
        <f t="shared" si="59"/>
        <v>Yes</v>
      </c>
      <c r="AU370" s="30"/>
      <c r="AV370" s="31"/>
      <c r="AW370" s="31" t="s">
        <v>59</v>
      </c>
      <c r="AX370" s="2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</row>
    <row r="371" spans="1:74" x14ac:dyDescent="0.25">
      <c r="A371" s="25">
        <v>367</v>
      </c>
      <c r="B371" s="23" t="s">
        <v>1038</v>
      </c>
      <c r="C371" s="23" t="s">
        <v>1025</v>
      </c>
      <c r="D371" s="26" t="s">
        <v>1039</v>
      </c>
      <c r="E371" s="23">
        <v>13</v>
      </c>
      <c r="F371" s="23" t="s">
        <v>131</v>
      </c>
      <c r="G371" s="23">
        <f>VLOOKUP(C371,[2]Sheet2!$T$3:$V$92,3,FALSE)</f>
        <v>60</v>
      </c>
      <c r="H371" s="23" t="s">
        <v>68</v>
      </c>
      <c r="I371" s="23" t="s">
        <v>436</v>
      </c>
      <c r="J371" s="23">
        <v>3</v>
      </c>
      <c r="K371" s="6">
        <v>0.7</v>
      </c>
      <c r="L371" s="23" t="s">
        <v>427</v>
      </c>
      <c r="M371" s="23"/>
      <c r="N371" s="23"/>
      <c r="O371" s="23" t="e">
        <f t="shared" si="66"/>
        <v>#VALUE!</v>
      </c>
      <c r="P371" s="23"/>
      <c r="Q371" s="23"/>
      <c r="R371" s="27"/>
      <c r="S371" s="27"/>
      <c r="T371" s="23">
        <v>50699266</v>
      </c>
      <c r="U371" s="28">
        <v>4130605581905</v>
      </c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 t="s">
        <v>42</v>
      </c>
      <c r="AN371" s="32" t="s">
        <v>58</v>
      </c>
      <c r="AO371" s="39" t="s">
        <v>58</v>
      </c>
      <c r="AP371" s="32" t="s">
        <v>58</v>
      </c>
      <c r="AQ371" s="32" t="s">
        <v>58</v>
      </c>
      <c r="AR371" s="23"/>
      <c r="AS371" s="23" t="str">
        <f>IF(AND(AN371="Yes", AO371="Yes"), "Yes", IF(AND(AN371="", AO371=""), "No", "Incomplete"))</f>
        <v>Yes</v>
      </c>
      <c r="AT371" s="29" t="str">
        <f t="shared" si="59"/>
        <v>Yes</v>
      </c>
      <c r="AU371" s="30"/>
      <c r="AV371" s="31"/>
      <c r="AW371" s="31" t="s">
        <v>59</v>
      </c>
      <c r="AX371" s="2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</row>
    <row r="372" spans="1:74" x14ac:dyDescent="0.25">
      <c r="A372" s="25">
        <v>368</v>
      </c>
      <c r="B372" s="23" t="s">
        <v>1040</v>
      </c>
      <c r="C372" s="23" t="s">
        <v>1025</v>
      </c>
      <c r="D372" s="26" t="s">
        <v>1041</v>
      </c>
      <c r="E372" s="23">
        <v>11</v>
      </c>
      <c r="F372" s="23" t="s">
        <v>138</v>
      </c>
      <c r="G372" s="23">
        <f>VLOOKUP(C372,[2]Sheet2!$T$3:$V$92,3,FALSE)</f>
        <v>60</v>
      </c>
      <c r="H372" s="23" t="s">
        <v>68</v>
      </c>
      <c r="I372" s="23" t="s">
        <v>436</v>
      </c>
      <c r="J372" s="23">
        <v>3</v>
      </c>
      <c r="K372" s="6">
        <v>0.7</v>
      </c>
      <c r="L372" s="23" t="s">
        <v>427</v>
      </c>
      <c r="M372" s="23"/>
      <c r="N372" s="23"/>
      <c r="O372" s="23" t="e">
        <f t="shared" si="66"/>
        <v>#VALUE!</v>
      </c>
      <c r="P372" s="23"/>
      <c r="Q372" s="23"/>
      <c r="R372" s="27"/>
      <c r="S372" s="27"/>
      <c r="T372" s="23">
        <v>50702473</v>
      </c>
      <c r="U372" s="28">
        <v>4130474573694</v>
      </c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 t="s">
        <v>42</v>
      </c>
      <c r="AN372" s="23" t="s">
        <v>58</v>
      </c>
      <c r="AO372" s="23" t="s">
        <v>58</v>
      </c>
      <c r="AP372" s="32" t="s">
        <v>58</v>
      </c>
      <c r="AQ372" s="32" t="s">
        <v>58</v>
      </c>
      <c r="AR372" s="23"/>
      <c r="AS372" s="23" t="str">
        <f>IF(AND(AN372="Yes"), "Yes", IF(AND(AN372=""), "No", "Incomplete"))</f>
        <v>Yes</v>
      </c>
      <c r="AT372" s="29" t="str">
        <f t="shared" si="59"/>
        <v>Yes</v>
      </c>
      <c r="AU372" s="30"/>
      <c r="AV372" s="31"/>
      <c r="AW372" s="31" t="s">
        <v>59</v>
      </c>
      <c r="AX372" s="2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</row>
    <row r="373" spans="1:74" x14ac:dyDescent="0.25">
      <c r="A373" s="25">
        <v>370</v>
      </c>
      <c r="B373" s="23" t="s">
        <v>1042</v>
      </c>
      <c r="C373" s="23" t="s">
        <v>1025</v>
      </c>
      <c r="D373" s="26" t="s">
        <v>1043</v>
      </c>
      <c r="E373" s="23">
        <v>7</v>
      </c>
      <c r="F373" s="23" t="s">
        <v>264</v>
      </c>
      <c r="G373" s="23">
        <f>VLOOKUP(C373,[2]Sheet2!$T$3:$V$92,3,FALSE)</f>
        <v>60</v>
      </c>
      <c r="H373" s="23" t="s">
        <v>68</v>
      </c>
      <c r="I373" s="23" t="s">
        <v>436</v>
      </c>
      <c r="J373" s="23">
        <v>3</v>
      </c>
      <c r="K373" s="6">
        <v>0.8</v>
      </c>
      <c r="L373" s="23" t="s">
        <v>574</v>
      </c>
      <c r="M373" s="23"/>
      <c r="N373" s="23"/>
      <c r="O373" s="23" t="e">
        <f t="shared" si="66"/>
        <v>#VALUE!</v>
      </c>
      <c r="P373" s="23"/>
      <c r="Q373" s="23"/>
      <c r="R373" s="27"/>
      <c r="S373" s="27"/>
      <c r="T373" s="23">
        <v>10041688</v>
      </c>
      <c r="U373" s="28">
        <v>4130384718263</v>
      </c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 t="s">
        <v>41</v>
      </c>
      <c r="AN373" s="32" t="s">
        <v>58</v>
      </c>
      <c r="AO373" s="32" t="s">
        <v>58</v>
      </c>
      <c r="AP373" s="32" t="s">
        <v>58</v>
      </c>
      <c r="AQ373" s="23"/>
      <c r="AR373" s="23"/>
      <c r="AS373" s="23" t="str">
        <f>IF(AND(AN373="Yes"), "Yes", IF(AND(AN373=""), "No", "Incomplete"))</f>
        <v>Yes</v>
      </c>
      <c r="AT373" s="29" t="str">
        <f t="shared" si="59"/>
        <v>Yes</v>
      </c>
      <c r="AU373" s="30"/>
      <c r="AV373" s="31" t="s">
        <v>64</v>
      </c>
      <c r="AW373" s="31" t="s">
        <v>59</v>
      </c>
      <c r="AX373" s="2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</row>
    <row r="374" spans="1:74" x14ac:dyDescent="0.25">
      <c r="A374" s="25">
        <v>369</v>
      </c>
      <c r="B374" s="23" t="s">
        <v>1044</v>
      </c>
      <c r="C374" s="23" t="s">
        <v>1025</v>
      </c>
      <c r="D374" s="26" t="s">
        <v>1045</v>
      </c>
      <c r="E374" s="23">
        <v>7</v>
      </c>
      <c r="F374" s="23" t="s">
        <v>145</v>
      </c>
      <c r="G374" s="23">
        <f>VLOOKUP(C374,[2]Sheet2!$T$3:$V$92,3,FALSE)</f>
        <v>60</v>
      </c>
      <c r="H374" s="23" t="s">
        <v>68</v>
      </c>
      <c r="I374" s="23" t="s">
        <v>436</v>
      </c>
      <c r="J374" s="23"/>
      <c r="K374" s="6">
        <v>0</v>
      </c>
      <c r="L374" s="23" t="s">
        <v>890</v>
      </c>
      <c r="M374" s="23"/>
      <c r="N374" s="23"/>
      <c r="O374" s="23" t="e">
        <f t="shared" si="66"/>
        <v>#VALUE!</v>
      </c>
      <c r="P374" s="23"/>
      <c r="Q374" s="23"/>
      <c r="R374" s="27"/>
      <c r="S374" s="27"/>
      <c r="T374" s="23">
        <v>50219791</v>
      </c>
      <c r="U374" s="28">
        <v>3210231823985</v>
      </c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 t="s">
        <v>73</v>
      </c>
      <c r="AN374" s="23"/>
      <c r="AO374" s="23"/>
      <c r="AP374" s="23"/>
      <c r="AQ374" s="23"/>
      <c r="AR374" s="23"/>
      <c r="AS374" s="23" t="str">
        <f>IF(AND(AN374="Yes"), "Yes", IF(AND(AN374=""), "No", "Incomplete"))</f>
        <v>No</v>
      </c>
      <c r="AT374" s="29" t="str">
        <f t="shared" si="59"/>
        <v>NA</v>
      </c>
      <c r="AU374" s="30"/>
      <c r="AV374" s="31"/>
      <c r="AW374" s="31" t="s">
        <v>59</v>
      </c>
      <c r="AX374" s="2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</row>
    <row r="375" spans="1:74" x14ac:dyDescent="0.25">
      <c r="A375" s="25">
        <v>371</v>
      </c>
      <c r="B375" s="23" t="s">
        <v>1046</v>
      </c>
      <c r="C375" s="23" t="s">
        <v>1025</v>
      </c>
      <c r="D375" s="26" t="s">
        <v>1047</v>
      </c>
      <c r="E375" s="23">
        <v>4</v>
      </c>
      <c r="F375" s="23" t="s">
        <v>161</v>
      </c>
      <c r="G375" s="23">
        <f>VLOOKUP(C375,[2]Sheet2!$T$3:$V$92,3,FALSE)</f>
        <v>60</v>
      </c>
      <c r="H375" s="23" t="s">
        <v>68</v>
      </c>
      <c r="I375" s="23" t="s">
        <v>436</v>
      </c>
      <c r="J375" s="23"/>
      <c r="K375" s="6">
        <v>0</v>
      </c>
      <c r="L375" s="23" t="s">
        <v>890</v>
      </c>
      <c r="M375" s="43" t="s">
        <v>258</v>
      </c>
      <c r="N375" s="43"/>
      <c r="O375" s="23" t="e">
        <f t="shared" si="66"/>
        <v>#VALUE!</v>
      </c>
      <c r="P375" s="43"/>
      <c r="Q375" s="43"/>
      <c r="R375" s="44">
        <v>38668</v>
      </c>
      <c r="S375" s="44">
        <v>40003</v>
      </c>
      <c r="T375" s="23">
        <v>10610824</v>
      </c>
      <c r="U375" s="28">
        <v>4130333760661</v>
      </c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 t="s">
        <v>73</v>
      </c>
      <c r="AN375" s="23"/>
      <c r="AO375" s="23"/>
      <c r="AP375" s="23"/>
      <c r="AQ375" s="23"/>
      <c r="AR375" s="23"/>
      <c r="AS375" s="23" t="str">
        <f>IF(AND(AN375="Yes"), "Yes", IF(AND(AN375=""), "No", "Incomplete"))</f>
        <v>No</v>
      </c>
      <c r="AT375" s="29" t="str">
        <f t="shared" si="59"/>
        <v>NA</v>
      </c>
      <c r="AU375" s="30"/>
      <c r="AV375" s="31"/>
      <c r="AW375" s="31" t="s">
        <v>59</v>
      </c>
      <c r="AX375" s="2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</row>
    <row r="376" spans="1:74" x14ac:dyDescent="0.25">
      <c r="A376" s="25">
        <v>372</v>
      </c>
      <c r="B376" s="23" t="s">
        <v>1048</v>
      </c>
      <c r="C376" s="23" t="s">
        <v>1025</v>
      </c>
      <c r="D376" s="26" t="s">
        <v>1049</v>
      </c>
      <c r="E376" s="23">
        <v>2</v>
      </c>
      <c r="F376" s="23" t="s">
        <v>71</v>
      </c>
      <c r="G376" s="23">
        <f>VLOOKUP(C376,[2]Sheet2!$T$3:$V$92,3,FALSE)</f>
        <v>60</v>
      </c>
      <c r="H376" s="23" t="s">
        <v>68</v>
      </c>
      <c r="I376" s="23" t="s">
        <v>436</v>
      </c>
      <c r="J376" s="23"/>
      <c r="K376" s="6">
        <v>0</v>
      </c>
      <c r="L376" s="23" t="s">
        <v>890</v>
      </c>
      <c r="M376" s="23"/>
      <c r="N376" s="23"/>
      <c r="O376" s="23" t="e">
        <f t="shared" si="66"/>
        <v>#VALUE!</v>
      </c>
      <c r="P376" s="23"/>
      <c r="Q376" s="23"/>
      <c r="R376" s="27"/>
      <c r="S376" s="27"/>
      <c r="T376" s="23">
        <v>50748650</v>
      </c>
      <c r="U376" s="28">
        <v>4130433360369</v>
      </c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 t="s">
        <v>40</v>
      </c>
      <c r="AN376" s="23"/>
      <c r="AO376" s="32" t="s">
        <v>58</v>
      </c>
      <c r="AP376" s="23"/>
      <c r="AQ376" s="23"/>
      <c r="AR376" s="23"/>
      <c r="AS376" s="23" t="str">
        <f>IF(AND(AN376="Yes"), "Yes", IF(AND(AN376=""), "No", "Incomplete"))</f>
        <v>No</v>
      </c>
      <c r="AT376" s="29" t="str">
        <f t="shared" si="59"/>
        <v>Yes</v>
      </c>
      <c r="AU376" s="30"/>
      <c r="AV376" s="31"/>
      <c r="AW376" s="31" t="s">
        <v>59</v>
      </c>
      <c r="AX376" s="2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</row>
    <row r="377" spans="1:74" ht="36.75" customHeight="1" x14ac:dyDescent="0.25">
      <c r="A377" s="25">
        <v>373</v>
      </c>
      <c r="B377" s="23" t="s">
        <v>1050</v>
      </c>
      <c r="C377" s="23" t="s">
        <v>1051</v>
      </c>
      <c r="D377" s="26" t="s">
        <v>165</v>
      </c>
      <c r="E377" s="23">
        <v>17</v>
      </c>
      <c r="F377" s="23" t="s">
        <v>586</v>
      </c>
      <c r="G377" s="23">
        <f>VLOOKUP(C377,[2]Sheet2!$T$3:$V$92,3,FALSE)</f>
        <v>61</v>
      </c>
      <c r="H377" s="23" t="s">
        <v>54</v>
      </c>
      <c r="I377" s="23" t="s">
        <v>436</v>
      </c>
      <c r="J377" s="23"/>
      <c r="L377" s="23"/>
      <c r="M377" s="23"/>
      <c r="N377" s="23" t="s">
        <v>56</v>
      </c>
      <c r="O377" s="23" t="e">
        <f ca="1">IF(ISNUMBER(SEARCH("to", N377)),
_xlfn.LET(
    _xlpm.text_n3, N377,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77" s="23"/>
      <c r="Q377" s="23" t="s">
        <v>57</v>
      </c>
      <c r="R377" s="27"/>
      <c r="S377" s="27"/>
      <c r="T377" s="23">
        <v>10432798</v>
      </c>
      <c r="U377" s="28">
        <v>4110282560627</v>
      </c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 t="s">
        <v>40</v>
      </c>
      <c r="AN377" s="23" t="s">
        <v>58</v>
      </c>
      <c r="AO377" s="23" t="s">
        <v>58</v>
      </c>
      <c r="AP377" s="23"/>
      <c r="AQ377" s="23"/>
      <c r="AR377" s="23"/>
      <c r="AS377" s="23" t="str">
        <f>IF(AND(AN377="Yes", AO377="Yes", AP377="Yes"), "Yes", IF(AND(AN377="", AO377="", AP377=""), "No", "Incomplete"))</f>
        <v>Incomplete</v>
      </c>
      <c r="AT377" s="29" t="str">
        <f t="shared" si="59"/>
        <v>Yes</v>
      </c>
      <c r="AU377" s="30"/>
      <c r="AV377" s="31"/>
      <c r="AW377" s="31" t="s">
        <v>59</v>
      </c>
      <c r="AX377" s="2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</row>
    <row r="378" spans="1:74" ht="28.5" x14ac:dyDescent="0.25">
      <c r="A378" s="25">
        <v>506</v>
      </c>
      <c r="B378" s="23" t="s">
        <v>1052</v>
      </c>
      <c r="C378" s="23" t="s">
        <v>1051</v>
      </c>
      <c r="D378" s="26" t="s">
        <v>1053</v>
      </c>
      <c r="E378" s="23">
        <v>16</v>
      </c>
      <c r="F378" s="23" t="s">
        <v>67</v>
      </c>
      <c r="G378" s="23">
        <f>VLOOKUP(C378,[2]Sheet2!$T$3:$V$92,3,FALSE)</f>
        <v>61</v>
      </c>
      <c r="H378" s="23" t="s">
        <v>68</v>
      </c>
      <c r="I378" s="23" t="s">
        <v>436</v>
      </c>
      <c r="J378" s="23"/>
      <c r="K378" s="6">
        <v>0</v>
      </c>
      <c r="L378" s="23"/>
      <c r="M378" s="23"/>
      <c r="N378" s="23" t="s">
        <v>1054</v>
      </c>
      <c r="O378" s="23" t="str">
        <f>IF(DATEVALUE(MID(N378,15,10))-DATEVALUE(LEFT(N378,10))+1&gt;=365,"1 Year",
DATEDIF(DATEVALUE(LEFT(N378,10)),DATEVALUE(MID(N378,15,10)),"Y")&amp;" Years, "&amp;DATEDIF(DATEVALUE(LEFT(N378,10)),DATEVALUE(MID(N378,15,10)),"YM")&amp;" Months, "&amp;DATEDIF(DATEVALUE(LEFT(N378,10)),DATEVALUE(MID(N378,15,10)),"MD")&amp;" Days")</f>
        <v>0 Years, 2 Months, 21 Days</v>
      </c>
      <c r="P378" s="23"/>
      <c r="Q378" s="23" t="s">
        <v>812</v>
      </c>
      <c r="R378" s="27"/>
      <c r="S378" s="27">
        <v>45940</v>
      </c>
      <c r="T378" s="23">
        <v>50673539</v>
      </c>
      <c r="U378" s="28">
        <v>4130484894751</v>
      </c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 t="s">
        <v>41</v>
      </c>
      <c r="AN378" s="32" t="s">
        <v>58</v>
      </c>
      <c r="AO378" s="32" t="s">
        <v>58</v>
      </c>
      <c r="AP378" s="32" t="s">
        <v>58</v>
      </c>
      <c r="AQ378" s="23"/>
      <c r="AR378" s="23"/>
      <c r="AS378" s="23" t="str">
        <f>IF(AND(AN378="Yes", AO378="Yes", AP378="Yes"), "Yes", IF(AND(AN378="", AO378="", AP378=""), "No", "Incomplete"))</f>
        <v>Yes</v>
      </c>
      <c r="AT378" s="29" t="str">
        <f t="shared" si="59"/>
        <v>Yes</v>
      </c>
      <c r="AU378" s="30"/>
      <c r="AV378" s="31"/>
      <c r="AW378" s="31" t="s">
        <v>59</v>
      </c>
      <c r="AX378" s="2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</row>
    <row r="379" spans="1:74" x14ac:dyDescent="0.25">
      <c r="A379" s="25">
        <v>375</v>
      </c>
      <c r="B379" s="23" t="s">
        <v>1055</v>
      </c>
      <c r="C379" s="23" t="s">
        <v>1051</v>
      </c>
      <c r="D379" s="26" t="s">
        <v>1056</v>
      </c>
      <c r="E379" s="23">
        <v>13</v>
      </c>
      <c r="F379" s="23" t="s">
        <v>131</v>
      </c>
      <c r="G379" s="23">
        <f>VLOOKUP(C379,[2]Sheet2!$T$3:$V$92,3,FALSE)</f>
        <v>61</v>
      </c>
      <c r="H379" s="23" t="s">
        <v>68</v>
      </c>
      <c r="I379" s="23" t="s">
        <v>436</v>
      </c>
      <c r="J379" s="23"/>
      <c r="K379" s="6">
        <v>0</v>
      </c>
      <c r="L379" s="23" t="s">
        <v>890</v>
      </c>
      <c r="M379" s="23"/>
      <c r="N379" s="23"/>
      <c r="O379" s="23" t="e">
        <f>IF(DATEVALUE(MID(N379,15,10))-DATEVALUE(LEFT(N379,10))+1&gt;=365,"1 Year",
DATEDIF(DATEVALUE(LEFT(N379,10)),DATEVALUE(MID(N379,15,10)),"Y")&amp;" Years, "&amp;DATEDIF(DATEVALUE(LEFT(N379,10)),DATEVALUE(MID(N379,15,10)),"YM")&amp;" Months, "&amp;DATEDIF(DATEVALUE(LEFT(N379,10)),DATEVALUE(MID(N379,15,10)),"MD")&amp;" Days")</f>
        <v>#VALUE!</v>
      </c>
      <c r="P379" s="23"/>
      <c r="Q379" s="23"/>
      <c r="R379" s="27"/>
      <c r="S379" s="27"/>
      <c r="T379" s="23">
        <v>10428085</v>
      </c>
      <c r="U379" s="28">
        <v>4130370811689</v>
      </c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 t="s">
        <v>42</v>
      </c>
      <c r="AN379" s="23" t="s">
        <v>58</v>
      </c>
      <c r="AO379" s="23" t="s">
        <v>58</v>
      </c>
      <c r="AP379" s="23" t="s">
        <v>58</v>
      </c>
      <c r="AQ379" s="32" t="s">
        <v>58</v>
      </c>
      <c r="AR379" s="23"/>
      <c r="AS379" s="23" t="str">
        <f>IF(AND(AN379="Yes", AO379="Yes"), "Yes", IF(AND(AN379="", AO379=""), "No", "Incomplete"))</f>
        <v>Yes</v>
      </c>
      <c r="AT379" s="29" t="str">
        <f t="shared" si="59"/>
        <v>Yes</v>
      </c>
      <c r="AU379" s="30"/>
      <c r="AV379" s="31"/>
      <c r="AW379" s="31" t="s">
        <v>59</v>
      </c>
      <c r="AX379" s="2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</row>
    <row r="380" spans="1:74" x14ac:dyDescent="0.25">
      <c r="A380" s="25">
        <v>376</v>
      </c>
      <c r="B380" s="23" t="s">
        <v>1057</v>
      </c>
      <c r="C380" s="23" t="s">
        <v>1051</v>
      </c>
      <c r="D380" s="26" t="s">
        <v>1058</v>
      </c>
      <c r="E380" s="23">
        <v>4</v>
      </c>
      <c r="F380" s="23" t="s">
        <v>161</v>
      </c>
      <c r="G380" s="23">
        <f>VLOOKUP(C380,[2]Sheet2!$T$3:$V$92,3,FALSE)</f>
        <v>61</v>
      </c>
      <c r="H380" s="23" t="s">
        <v>68</v>
      </c>
      <c r="I380" s="23" t="s">
        <v>436</v>
      </c>
      <c r="J380" s="23"/>
      <c r="K380" s="6">
        <v>0</v>
      </c>
      <c r="L380" s="23" t="s">
        <v>890</v>
      </c>
      <c r="M380" s="43" t="s">
        <v>1059</v>
      </c>
      <c r="N380" s="43"/>
      <c r="O380" s="23" t="e">
        <f>IF(DATEVALUE(MID(N380,15,10))-DATEVALUE(LEFT(N380,10))+1&gt;=365,"1 Year",
DATEDIF(DATEVALUE(LEFT(N380,10)),DATEVALUE(MID(N380,15,10)),"Y")&amp;" Years, "&amp;DATEDIF(DATEVALUE(LEFT(N380,10)),DATEVALUE(MID(N380,15,10)),"YM")&amp;" Months, "&amp;DATEDIF(DATEVALUE(LEFT(N380,10)),DATEVALUE(MID(N380,15,10)),"MD")&amp;" Days")</f>
        <v>#VALUE!</v>
      </c>
      <c r="P380" s="43"/>
      <c r="Q380" s="43"/>
      <c r="R380" s="44">
        <v>41456</v>
      </c>
      <c r="S380" s="44">
        <v>43864</v>
      </c>
      <c r="T380" s="23">
        <v>50185433</v>
      </c>
      <c r="U380" s="28">
        <v>4120152602483</v>
      </c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 t="s">
        <v>39</v>
      </c>
      <c r="AN380" s="23" t="s">
        <v>58</v>
      </c>
      <c r="AO380" s="23"/>
      <c r="AP380" s="23"/>
      <c r="AQ380" s="23"/>
      <c r="AR380" s="23"/>
      <c r="AS380" s="23" t="str">
        <f>IF(AND(AN380="Yes"), "Yes", IF(AND(AN380=""), "No", "Incomplete"))</f>
        <v>Yes</v>
      </c>
      <c r="AT380" s="29" t="str">
        <f t="shared" si="59"/>
        <v>Yes</v>
      </c>
      <c r="AU380" s="30"/>
      <c r="AV380" s="31"/>
      <c r="AW380" s="31" t="s">
        <v>59</v>
      </c>
      <c r="AX380" s="2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</row>
    <row r="381" spans="1:74" x14ac:dyDescent="0.25">
      <c r="A381" s="25">
        <v>377</v>
      </c>
      <c r="B381" s="23" t="s">
        <v>1060</v>
      </c>
      <c r="C381" s="23" t="s">
        <v>1051</v>
      </c>
      <c r="D381" s="26" t="s">
        <v>1061</v>
      </c>
      <c r="E381" s="23">
        <v>2</v>
      </c>
      <c r="F381" s="23" t="s">
        <v>71</v>
      </c>
      <c r="G381" s="23">
        <f>VLOOKUP(C381,[2]Sheet2!$T$3:$V$92,3,FALSE)</f>
        <v>61</v>
      </c>
      <c r="H381" s="23" t="s">
        <v>68</v>
      </c>
      <c r="I381" s="23" t="s">
        <v>436</v>
      </c>
      <c r="J381" s="23">
        <v>3</v>
      </c>
      <c r="K381" s="6">
        <v>0.5</v>
      </c>
      <c r="L381" s="23" t="s">
        <v>376</v>
      </c>
      <c r="M381" s="23"/>
      <c r="N381" s="23"/>
      <c r="O381" s="23" t="e">
        <f>IF(DATEVALUE(MID(N381,15,10))-DATEVALUE(LEFT(N381,10))+1&gt;=365,"1 Year",
DATEDIF(DATEVALUE(LEFT(N381,10)),DATEVALUE(MID(N381,15,10)),"Y")&amp;" Years, "&amp;DATEDIF(DATEVALUE(LEFT(N381,10)),DATEVALUE(MID(N381,15,10)),"YM")&amp;" Months, "&amp;DATEDIF(DATEVALUE(LEFT(N381,10)),DATEVALUE(MID(N381,15,10)),"MD")&amp;" Days")</f>
        <v>#VALUE!</v>
      </c>
      <c r="P381" s="23"/>
      <c r="Q381" s="23"/>
      <c r="R381" s="27"/>
      <c r="S381" s="27"/>
      <c r="T381" s="23">
        <v>50748645</v>
      </c>
      <c r="U381" s="28">
        <v>4130455009907</v>
      </c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 t="s">
        <v>73</v>
      </c>
      <c r="AN381" s="23"/>
      <c r="AO381" s="23"/>
      <c r="AP381" s="23"/>
      <c r="AQ381" s="23"/>
      <c r="AR381" s="23"/>
      <c r="AS381" s="23" t="str">
        <f>IF(AND(AN381="Yes"), "Yes", IF(AND(AN381=""), "No", "Incomplete"))</f>
        <v>No</v>
      </c>
      <c r="AT381" s="29" t="str">
        <f t="shared" si="59"/>
        <v>NA</v>
      </c>
      <c r="AU381" s="30"/>
      <c r="AV381" s="31"/>
      <c r="AW381" s="31" t="s">
        <v>59</v>
      </c>
      <c r="AX381" s="2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</row>
    <row r="382" spans="1:74" x14ac:dyDescent="0.25">
      <c r="A382" s="25">
        <v>378</v>
      </c>
      <c r="B382" s="23" t="s">
        <v>1062</v>
      </c>
      <c r="C382" s="23" t="s">
        <v>1063</v>
      </c>
      <c r="D382" s="45" t="s">
        <v>1064</v>
      </c>
      <c r="E382" s="23">
        <v>17</v>
      </c>
      <c r="F382" s="23" t="s">
        <v>511</v>
      </c>
      <c r="G382" s="23">
        <f>VLOOKUP(C382,[2]Sheet2!$T$3:$V$92,3,FALSE)</f>
        <v>62</v>
      </c>
      <c r="H382" s="23" t="s">
        <v>54</v>
      </c>
      <c r="I382" s="23" t="s">
        <v>436</v>
      </c>
      <c r="J382" s="23"/>
      <c r="L382" s="23"/>
      <c r="M382" s="23"/>
      <c r="N382" s="23" t="s">
        <v>56</v>
      </c>
      <c r="O382" s="23" t="e">
        <f ca="1">IF(ISNUMBER(SEARCH("to", N382)),
_xlfn.LET(
    _xlpm.text_n3, N382,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82" s="23"/>
      <c r="Q382" s="23" t="s">
        <v>57</v>
      </c>
      <c r="R382" s="27"/>
      <c r="S382" s="27"/>
      <c r="T382" s="23">
        <v>50651565</v>
      </c>
      <c r="U382" s="28">
        <v>4250130726097</v>
      </c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 t="s">
        <v>41</v>
      </c>
      <c r="AN382" s="23" t="s">
        <v>58</v>
      </c>
      <c r="AO382" s="23" t="s">
        <v>58</v>
      </c>
      <c r="AP382" s="23" t="s">
        <v>58</v>
      </c>
      <c r="AQ382" s="23"/>
      <c r="AR382" s="23" t="s">
        <v>122</v>
      </c>
      <c r="AS382" s="23" t="str">
        <f>IF(AND(AN382="Yes", AO382="Yes", AP382="Yes"), "Yes", IF(AND(AN382="", AO382="", AP382=""), "No", "Incomplete"))</f>
        <v>Yes</v>
      </c>
      <c r="AT382" s="29" t="str">
        <f t="shared" si="59"/>
        <v>Yes</v>
      </c>
      <c r="AU382" s="30"/>
      <c r="AV382" s="31"/>
      <c r="AW382" s="31" t="s">
        <v>59</v>
      </c>
      <c r="AX382" s="2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</row>
    <row r="383" spans="1:74" x14ac:dyDescent="0.25">
      <c r="A383" s="25">
        <v>379</v>
      </c>
      <c r="B383" s="23" t="s">
        <v>1065</v>
      </c>
      <c r="C383" s="23" t="s">
        <v>1063</v>
      </c>
      <c r="D383" s="26" t="s">
        <v>1066</v>
      </c>
      <c r="E383" s="23">
        <v>15</v>
      </c>
      <c r="F383" s="23" t="s">
        <v>602</v>
      </c>
      <c r="G383" s="23">
        <f>VLOOKUP(C383,[2]Sheet2!$T$3:$V$92,3,FALSE)</f>
        <v>62</v>
      </c>
      <c r="H383" s="23" t="s">
        <v>68</v>
      </c>
      <c r="I383" s="23" t="s">
        <v>436</v>
      </c>
      <c r="J383" s="23"/>
      <c r="K383" s="6">
        <v>0</v>
      </c>
      <c r="L383" s="23" t="s">
        <v>890</v>
      </c>
      <c r="M383" s="23"/>
      <c r="N383" s="23"/>
      <c r="O383" s="23" t="e">
        <f>IF(DATEVALUE(MID(N383,15,10))-DATEVALUE(LEFT(N383,10))+1&gt;=365,"1 Year",
DATEDIF(DATEVALUE(LEFT(N383,10)),DATEVALUE(MID(N383,15,10)),"Y")&amp;" Years, "&amp;DATEDIF(DATEVALUE(LEFT(N383,10)),DATEVALUE(MID(N383,15,10)),"YM")&amp;" Months, "&amp;DATEDIF(DATEVALUE(LEFT(N383,10)),DATEVALUE(MID(N383,15,10)),"MD")&amp;" Days")</f>
        <v>#VALUE!</v>
      </c>
      <c r="P383" s="23"/>
      <c r="Q383" s="23"/>
      <c r="R383" s="27"/>
      <c r="S383" s="27"/>
      <c r="T383" s="23">
        <v>10474685</v>
      </c>
      <c r="U383" s="28">
        <v>4130611232731</v>
      </c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 t="s">
        <v>42</v>
      </c>
      <c r="AN383" s="23" t="s">
        <v>58</v>
      </c>
      <c r="AO383" s="23" t="s">
        <v>58</v>
      </c>
      <c r="AP383" s="23" t="s">
        <v>58</v>
      </c>
      <c r="AQ383" s="23" t="s">
        <v>58</v>
      </c>
      <c r="AR383" s="23"/>
      <c r="AS383" s="23" t="str">
        <f>IF(AND(AN383="Yes", AO383="Yes", AP383="Yes"), "Yes", IF(AND(AN383="", AO383="", AP383=""), "No", "Incomplete"))</f>
        <v>Yes</v>
      </c>
      <c r="AT383" s="29" t="str">
        <f t="shared" si="59"/>
        <v>Yes</v>
      </c>
      <c r="AU383" s="30"/>
      <c r="AV383" s="31"/>
      <c r="AW383" s="31" t="s">
        <v>59</v>
      </c>
      <c r="AX383" s="2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</row>
    <row r="384" spans="1:74" x14ac:dyDescent="0.25">
      <c r="A384" s="25">
        <v>380</v>
      </c>
      <c r="B384" s="23" t="s">
        <v>1067</v>
      </c>
      <c r="C384" s="23" t="s">
        <v>1063</v>
      </c>
      <c r="D384" s="26" t="s">
        <v>1068</v>
      </c>
      <c r="E384" s="23">
        <v>5</v>
      </c>
      <c r="F384" s="23" t="s">
        <v>605</v>
      </c>
      <c r="G384" s="23">
        <f>VLOOKUP(C384,[2]Sheet2!$T$3:$V$92,3,FALSE)</f>
        <v>62</v>
      </c>
      <c r="H384" s="23" t="s">
        <v>68</v>
      </c>
      <c r="I384" s="23" t="s">
        <v>436</v>
      </c>
      <c r="J384" s="23"/>
      <c r="K384" s="6">
        <v>0</v>
      </c>
      <c r="L384" s="23" t="s">
        <v>890</v>
      </c>
      <c r="M384" s="23"/>
      <c r="N384" s="23"/>
      <c r="O384" s="23" t="e">
        <f>IF(DATEVALUE(MID(N384,15,10))-DATEVALUE(LEFT(N384,10))+1&gt;=365,"1 Year",
DATEDIF(DATEVALUE(LEFT(N384,10)),DATEVALUE(MID(N384,15,10)),"Y")&amp;" Years, "&amp;DATEDIF(DATEVALUE(LEFT(N384,10)),DATEVALUE(MID(N384,15,10)),"YM")&amp;" Months, "&amp;DATEDIF(DATEVALUE(LEFT(N384,10)),DATEVALUE(MID(N384,15,10)),"MD")&amp;" Days")</f>
        <v>#VALUE!</v>
      </c>
      <c r="P384" s="23"/>
      <c r="Q384" s="23"/>
      <c r="R384" s="27"/>
      <c r="S384" s="27"/>
      <c r="T384" s="23">
        <v>10448921</v>
      </c>
      <c r="U384" s="28">
        <v>4130399239669</v>
      </c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 t="s">
        <v>73</v>
      </c>
      <c r="AN384" s="23"/>
      <c r="AO384" s="23"/>
      <c r="AP384" s="23"/>
      <c r="AQ384" s="23"/>
      <c r="AR384" s="23"/>
      <c r="AS384" s="23" t="str">
        <f>IF(AND(AN384="Yes"), "Yes", IF(AND(AN384=""), "No", "Incomplete"))</f>
        <v>No</v>
      </c>
      <c r="AT384" s="29" t="str">
        <f t="shared" si="59"/>
        <v>NA</v>
      </c>
      <c r="AU384" s="30"/>
      <c r="AV384" s="31"/>
      <c r="AW384" s="31" t="s">
        <v>59</v>
      </c>
      <c r="AX384" s="2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</row>
    <row r="385" spans="1:74" x14ac:dyDescent="0.25">
      <c r="A385" s="25">
        <v>381</v>
      </c>
      <c r="B385" s="23" t="s">
        <v>1069</v>
      </c>
      <c r="C385" s="23" t="s">
        <v>1070</v>
      </c>
      <c r="D385" s="26" t="s">
        <v>1071</v>
      </c>
      <c r="E385" s="23">
        <v>18</v>
      </c>
      <c r="F385" s="23" t="s">
        <v>440</v>
      </c>
      <c r="G385" s="23">
        <f>VLOOKUP(C385,[2]Sheet2!$T$3:$V$92,3,FALSE)</f>
        <v>63</v>
      </c>
      <c r="H385" s="23" t="s">
        <v>54</v>
      </c>
      <c r="I385" s="23" t="s">
        <v>436</v>
      </c>
      <c r="J385" s="23"/>
      <c r="L385" s="23"/>
      <c r="M385" s="23"/>
      <c r="N385" s="23" t="s">
        <v>1072</v>
      </c>
      <c r="O385" s="23" t="e">
        <f ca="1">IF(ISNUMBER(SEARCH("to", N385)),
_xlfn.LET(
    _xlpm.text_n3, N385,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85" s="23"/>
      <c r="Q385" s="23" t="s">
        <v>57</v>
      </c>
      <c r="R385" s="27"/>
      <c r="S385" s="27"/>
      <c r="T385" s="23">
        <v>10112659</v>
      </c>
      <c r="U385" s="28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 t="s">
        <v>41</v>
      </c>
      <c r="AN385" s="23"/>
      <c r="AO385" s="23"/>
      <c r="AP385" s="23" t="s">
        <v>58</v>
      </c>
      <c r="AQ385" s="23"/>
      <c r="AR385" s="23"/>
      <c r="AS385" s="23" t="str">
        <f t="shared" ref="AS385:AS390" si="67">IF(AND(AN385="Yes", AO385="Yes", AP385="Yes"), "Yes", IF(AND(AN385="", AO385="", AP385=""), "No", "Incomplete"))</f>
        <v>Incomplete</v>
      </c>
      <c r="AT385" s="29" t="str">
        <f t="shared" si="59"/>
        <v>Yes</v>
      </c>
      <c r="AU385" s="30"/>
      <c r="AV385" s="31"/>
      <c r="AW385" s="31" t="s">
        <v>59</v>
      </c>
      <c r="AX385" s="2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</row>
    <row r="386" spans="1:74" x14ac:dyDescent="0.25">
      <c r="A386" s="25">
        <v>382</v>
      </c>
      <c r="B386" s="23" t="s">
        <v>1073</v>
      </c>
      <c r="C386" s="23" t="s">
        <v>1070</v>
      </c>
      <c r="D386" s="45" t="s">
        <v>1074</v>
      </c>
      <c r="E386" s="23">
        <v>17</v>
      </c>
      <c r="F386" s="23" t="s">
        <v>586</v>
      </c>
      <c r="G386" s="23">
        <f>VLOOKUP(C386,[2]Sheet2!$T$3:$V$92,3,FALSE)</f>
        <v>63</v>
      </c>
      <c r="H386" s="23" t="s">
        <v>54</v>
      </c>
      <c r="I386" s="23" t="s">
        <v>436</v>
      </c>
      <c r="J386" s="23"/>
      <c r="L386" s="23"/>
      <c r="M386" s="23"/>
      <c r="N386" s="23" t="s">
        <v>1075</v>
      </c>
      <c r="O386" s="23" t="e">
        <f ca="1">IF(ISNUMBER(SEARCH("to", N386)),
_xlfn.LET(
    _xlpm.text_n3, N386,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86" s="23"/>
      <c r="Q386" s="23" t="s">
        <v>57</v>
      </c>
      <c r="R386" s="27"/>
      <c r="S386" s="27"/>
      <c r="T386" s="23">
        <v>50257000</v>
      </c>
      <c r="U386" s="28" t="s">
        <v>1076</v>
      </c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 t="s">
        <v>42</v>
      </c>
      <c r="AN386" s="32" t="s">
        <v>58</v>
      </c>
      <c r="AO386" s="32" t="s">
        <v>58</v>
      </c>
      <c r="AP386" s="32" t="s">
        <v>58</v>
      </c>
      <c r="AQ386" s="32" t="s">
        <v>58</v>
      </c>
      <c r="AR386" s="23"/>
      <c r="AS386" s="23" t="str">
        <f t="shared" si="67"/>
        <v>Yes</v>
      </c>
      <c r="AT386" s="29" t="str">
        <f t="shared" si="59"/>
        <v>Yes</v>
      </c>
      <c r="AU386" s="30"/>
      <c r="AV386" s="31"/>
      <c r="AW386" s="31" t="s">
        <v>59</v>
      </c>
      <c r="AX386" s="2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</row>
    <row r="387" spans="1:74" x14ac:dyDescent="0.25">
      <c r="A387" s="25">
        <v>383</v>
      </c>
      <c r="B387" s="23" t="s">
        <v>1077</v>
      </c>
      <c r="C387" s="23" t="s">
        <v>1070</v>
      </c>
      <c r="D387" s="26" t="s">
        <v>1078</v>
      </c>
      <c r="E387" s="23">
        <v>16</v>
      </c>
      <c r="F387" s="23" t="s">
        <v>67</v>
      </c>
      <c r="G387" s="23">
        <f>VLOOKUP(C387,[2]Sheet2!$T$3:$V$92,3,FALSE)</f>
        <v>63</v>
      </c>
      <c r="H387" s="23" t="s">
        <v>68</v>
      </c>
      <c r="I387" s="23" t="s">
        <v>436</v>
      </c>
      <c r="J387" s="23">
        <v>3</v>
      </c>
      <c r="K387" s="6">
        <v>0.7</v>
      </c>
      <c r="L387" s="23" t="s">
        <v>376</v>
      </c>
      <c r="M387" s="23"/>
      <c r="N387" s="23"/>
      <c r="O387" s="23" t="e">
        <f t="shared" ref="O387:O398" si="68">IF(DATEVALUE(MID(N387,15,10))-DATEVALUE(LEFT(N387,10))+1&gt;=365,"1 Year",
DATEDIF(DATEVALUE(LEFT(N387,10)),DATEVALUE(MID(N387,15,10)),"Y")&amp;" Years, "&amp;DATEDIF(DATEVALUE(LEFT(N387,10)),DATEVALUE(MID(N387,15,10)),"YM")&amp;" Months, "&amp;DATEDIF(DATEVALUE(LEFT(N387,10)),DATEVALUE(MID(N387,15,10)),"MD")&amp;" Days")</f>
        <v>#VALUE!</v>
      </c>
      <c r="P387" s="23"/>
      <c r="Q387" s="23"/>
      <c r="R387" s="27"/>
      <c r="S387" s="27"/>
      <c r="T387" s="23">
        <v>50184966</v>
      </c>
      <c r="U387" s="28" t="s">
        <v>1079</v>
      </c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 t="s">
        <v>42</v>
      </c>
      <c r="AN387" s="23"/>
      <c r="AO387" s="23"/>
      <c r="AP387" s="23"/>
      <c r="AQ387" s="23" t="s">
        <v>121</v>
      </c>
      <c r="AR387" s="23"/>
      <c r="AS387" s="23" t="str">
        <f t="shared" si="67"/>
        <v>No</v>
      </c>
      <c r="AT387" s="29" t="str">
        <f t="shared" si="59"/>
        <v>Under Process</v>
      </c>
      <c r="AU387" s="30"/>
      <c r="AV387" s="31"/>
      <c r="AW387" s="31"/>
      <c r="AX387" s="2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</row>
    <row r="388" spans="1:74" ht="28.5" x14ac:dyDescent="0.25">
      <c r="A388" s="25">
        <v>384</v>
      </c>
      <c r="B388" s="23" t="s">
        <v>1080</v>
      </c>
      <c r="C388" s="23" t="s">
        <v>1070</v>
      </c>
      <c r="D388" s="26" t="s">
        <v>1081</v>
      </c>
      <c r="E388" s="23">
        <v>15</v>
      </c>
      <c r="F388" s="23" t="s">
        <v>108</v>
      </c>
      <c r="G388" s="23">
        <f>VLOOKUP(C388,[2]Sheet2!$T$3:$V$92,3,FALSE)</f>
        <v>63</v>
      </c>
      <c r="H388" s="23" t="s">
        <v>68</v>
      </c>
      <c r="I388" s="23" t="s">
        <v>436</v>
      </c>
      <c r="J388" s="23"/>
      <c r="K388" s="6">
        <v>0</v>
      </c>
      <c r="L388" s="23" t="s">
        <v>890</v>
      </c>
      <c r="M388" s="23"/>
      <c r="N388" s="23" t="s">
        <v>1082</v>
      </c>
      <c r="O388" s="23" t="str">
        <f t="shared" si="68"/>
        <v>0 Years, 7 Months, 12 Days</v>
      </c>
      <c r="P388" s="23" t="s">
        <v>1010</v>
      </c>
      <c r="Q388" s="23" t="s">
        <v>812</v>
      </c>
      <c r="R388" s="27"/>
      <c r="S388" s="27"/>
      <c r="T388" s="23">
        <v>50214967</v>
      </c>
      <c r="U388" s="28" t="s">
        <v>1083</v>
      </c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 t="s">
        <v>42</v>
      </c>
      <c r="AN388" s="32" t="s">
        <v>58</v>
      </c>
      <c r="AO388" s="32" t="s">
        <v>58</v>
      </c>
      <c r="AP388" s="32" t="s">
        <v>58</v>
      </c>
      <c r="AQ388" s="32" t="s">
        <v>58</v>
      </c>
      <c r="AR388" s="23"/>
      <c r="AS388" s="23" t="str">
        <f t="shared" si="67"/>
        <v>Yes</v>
      </c>
      <c r="AT388" s="29" t="str">
        <f t="shared" si="59"/>
        <v>Yes</v>
      </c>
      <c r="AU388" s="30"/>
      <c r="AV388" s="31" t="s">
        <v>64</v>
      </c>
      <c r="AW388" s="31"/>
      <c r="AX388" s="2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</row>
    <row r="389" spans="1:74" ht="28.5" x14ac:dyDescent="0.25">
      <c r="A389" s="25">
        <v>385</v>
      </c>
      <c r="B389" s="23" t="s">
        <v>1084</v>
      </c>
      <c r="C389" s="23" t="s">
        <v>1070</v>
      </c>
      <c r="D389" s="26" t="s">
        <v>1085</v>
      </c>
      <c r="E389" s="23">
        <v>15</v>
      </c>
      <c r="F389" s="23" t="s">
        <v>108</v>
      </c>
      <c r="G389" s="23">
        <f>VLOOKUP(C389,[2]Sheet2!$T$3:$V$92,3,FALSE)</f>
        <v>63</v>
      </c>
      <c r="H389" s="23" t="s">
        <v>68</v>
      </c>
      <c r="I389" s="23" t="s">
        <v>436</v>
      </c>
      <c r="J389" s="23"/>
      <c r="K389" s="6">
        <v>0</v>
      </c>
      <c r="L389" s="23" t="s">
        <v>890</v>
      </c>
      <c r="M389" s="23"/>
      <c r="N389" s="23" t="s">
        <v>1082</v>
      </c>
      <c r="O389" s="23" t="str">
        <f t="shared" si="68"/>
        <v>0 Years, 7 Months, 12 Days</v>
      </c>
      <c r="P389" s="23" t="s">
        <v>96</v>
      </c>
      <c r="Q389" s="23" t="s">
        <v>812</v>
      </c>
      <c r="R389" s="27"/>
      <c r="S389" s="27"/>
      <c r="T389" s="23">
        <v>50170942</v>
      </c>
      <c r="U389" s="28" t="s">
        <v>1086</v>
      </c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 t="s">
        <v>41</v>
      </c>
      <c r="AN389" s="32" t="s">
        <v>58</v>
      </c>
      <c r="AO389" s="32" t="s">
        <v>58</v>
      </c>
      <c r="AP389" s="32" t="s">
        <v>58</v>
      </c>
      <c r="AQ389" s="23"/>
      <c r="AR389" s="23"/>
      <c r="AS389" s="23" t="str">
        <f t="shared" si="67"/>
        <v>Yes</v>
      </c>
      <c r="AT389" s="29" t="str">
        <f t="shared" si="59"/>
        <v>Yes</v>
      </c>
      <c r="AU389" s="30"/>
      <c r="AV389" s="31"/>
      <c r="AW389" s="31"/>
      <c r="AX389" s="2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</row>
    <row r="390" spans="1:74" ht="28.5" x14ac:dyDescent="0.25">
      <c r="A390" s="25">
        <v>386</v>
      </c>
      <c r="B390" s="23" t="s">
        <v>1087</v>
      </c>
      <c r="C390" s="23" t="s">
        <v>1070</v>
      </c>
      <c r="D390" s="26" t="s">
        <v>1088</v>
      </c>
      <c r="E390" s="23">
        <v>15</v>
      </c>
      <c r="F390" s="23" t="s">
        <v>108</v>
      </c>
      <c r="G390" s="23">
        <f>VLOOKUP(C390,[2]Sheet2!$T$3:$V$92,3,FALSE)</f>
        <v>63</v>
      </c>
      <c r="H390" s="23" t="s">
        <v>68</v>
      </c>
      <c r="I390" s="23" t="s">
        <v>436</v>
      </c>
      <c r="J390" s="23">
        <v>3</v>
      </c>
      <c r="K390" s="6">
        <v>0.6</v>
      </c>
      <c r="L390" s="23" t="s">
        <v>376</v>
      </c>
      <c r="M390" s="23"/>
      <c r="N390" s="23" t="s">
        <v>1082</v>
      </c>
      <c r="O390" s="23" t="str">
        <f t="shared" si="68"/>
        <v>0 Years, 7 Months, 12 Days</v>
      </c>
      <c r="P390" s="23" t="s">
        <v>1010</v>
      </c>
      <c r="Q390" s="23" t="s">
        <v>812</v>
      </c>
      <c r="R390" s="27"/>
      <c r="S390" s="27"/>
      <c r="T390" s="23">
        <v>50170335</v>
      </c>
      <c r="U390" s="28">
        <v>4130692131253</v>
      </c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 t="s">
        <v>41</v>
      </c>
      <c r="AN390" s="23"/>
      <c r="AO390" s="23"/>
      <c r="AP390" s="23" t="s">
        <v>58</v>
      </c>
      <c r="AQ390" s="23"/>
      <c r="AR390" s="23"/>
      <c r="AS390" s="23" t="str">
        <f t="shared" si="67"/>
        <v>Incomplete</v>
      </c>
      <c r="AT390" s="29" t="str">
        <f t="shared" si="59"/>
        <v>Yes</v>
      </c>
      <c r="AU390" s="30"/>
      <c r="AV390" s="31" t="s">
        <v>64</v>
      </c>
      <c r="AW390" s="31"/>
      <c r="AX390" s="2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</row>
    <row r="391" spans="1:74" x14ac:dyDescent="0.25">
      <c r="A391" s="25">
        <v>387</v>
      </c>
      <c r="B391" s="23" t="s">
        <v>1089</v>
      </c>
      <c r="C391" s="23" t="s">
        <v>1070</v>
      </c>
      <c r="D391" s="26" t="s">
        <v>1090</v>
      </c>
      <c r="E391" s="23">
        <v>13</v>
      </c>
      <c r="F391" s="23" t="s">
        <v>131</v>
      </c>
      <c r="G391" s="23">
        <f>VLOOKUP(C391,[2]Sheet2!$T$3:$V$92,3,FALSE)</f>
        <v>63</v>
      </c>
      <c r="H391" s="23" t="s">
        <v>68</v>
      </c>
      <c r="I391" s="23" t="s">
        <v>436</v>
      </c>
      <c r="J391" s="23">
        <v>3</v>
      </c>
      <c r="K391" s="6">
        <v>0.7</v>
      </c>
      <c r="L391" s="23" t="s">
        <v>427</v>
      </c>
      <c r="M391" s="23"/>
      <c r="N391" s="23"/>
      <c r="O391" s="23" t="e">
        <f t="shared" si="68"/>
        <v>#VALUE!</v>
      </c>
      <c r="P391" s="23"/>
      <c r="Q391" s="23"/>
      <c r="R391" s="27"/>
      <c r="S391" s="27"/>
      <c r="T391" s="23">
        <v>50702463</v>
      </c>
      <c r="U391" s="28" t="s">
        <v>1091</v>
      </c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 t="s">
        <v>41</v>
      </c>
      <c r="AN391" s="32" t="s">
        <v>58</v>
      </c>
      <c r="AO391" s="32" t="s">
        <v>58</v>
      </c>
      <c r="AP391" s="32" t="s">
        <v>58</v>
      </c>
      <c r="AQ391" s="23"/>
      <c r="AR391" s="23"/>
      <c r="AS391" s="23" t="str">
        <f>IF(AND(AN391="Yes", AO391="Yes"), "Yes", IF(AND(AN391="", AO391=""), "No", "Incomplete"))</f>
        <v>Yes</v>
      </c>
      <c r="AT391" s="29" t="str">
        <f t="shared" si="59"/>
        <v>Yes</v>
      </c>
      <c r="AU391" s="30"/>
      <c r="AV391" s="31"/>
      <c r="AW391" s="31"/>
      <c r="AX391" s="2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</row>
    <row r="392" spans="1:74" x14ac:dyDescent="0.25">
      <c r="A392" s="25">
        <v>388</v>
      </c>
      <c r="B392" s="23" t="s">
        <v>1092</v>
      </c>
      <c r="C392" s="23" t="s">
        <v>1070</v>
      </c>
      <c r="D392" s="26" t="s">
        <v>1093</v>
      </c>
      <c r="E392" s="23">
        <v>11</v>
      </c>
      <c r="F392" s="23" t="s">
        <v>138</v>
      </c>
      <c r="G392" s="23">
        <f>VLOOKUP(C392,[2]Sheet2!$T$3:$V$92,3,FALSE)</f>
        <v>63</v>
      </c>
      <c r="H392" s="23" t="s">
        <v>68</v>
      </c>
      <c r="I392" s="23" t="s">
        <v>436</v>
      </c>
      <c r="J392" s="23"/>
      <c r="K392" s="6">
        <v>0</v>
      </c>
      <c r="L392" s="23" t="s">
        <v>890</v>
      </c>
      <c r="M392" s="23"/>
      <c r="N392" s="23"/>
      <c r="O392" s="23" t="e">
        <f t="shared" si="68"/>
        <v>#VALUE!</v>
      </c>
      <c r="P392" s="23"/>
      <c r="Q392" s="23"/>
      <c r="R392" s="27"/>
      <c r="S392" s="27"/>
      <c r="T392" s="23">
        <v>50200320</v>
      </c>
      <c r="U392" s="28" t="s">
        <v>1094</v>
      </c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 t="s">
        <v>41</v>
      </c>
      <c r="AN392" s="32" t="s">
        <v>58</v>
      </c>
      <c r="AO392" s="32" t="s">
        <v>58</v>
      </c>
      <c r="AP392" s="32" t="s">
        <v>58</v>
      </c>
      <c r="AQ392" s="23"/>
      <c r="AR392" s="23"/>
      <c r="AS392" s="23" t="str">
        <f t="shared" ref="AS392:AS398" si="69">IF(AND(AN392="Yes"), "Yes", IF(AND(AN392=""), "No", "Incomplete"))</f>
        <v>Yes</v>
      </c>
      <c r="AT392" s="29" t="str">
        <f t="shared" si="59"/>
        <v>Yes</v>
      </c>
      <c r="AU392" s="30"/>
      <c r="AV392" s="31" t="s">
        <v>64</v>
      </c>
      <c r="AW392" s="31"/>
      <c r="AX392" s="2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</row>
    <row r="393" spans="1:74" x14ac:dyDescent="0.25">
      <c r="A393" s="25">
        <v>389</v>
      </c>
      <c r="B393" s="23" t="s">
        <v>1095</v>
      </c>
      <c r="C393" s="23" t="s">
        <v>1070</v>
      </c>
      <c r="D393" s="26" t="s">
        <v>1096</v>
      </c>
      <c r="E393" s="23">
        <v>11</v>
      </c>
      <c r="F393" s="23" t="s">
        <v>138</v>
      </c>
      <c r="G393" s="23">
        <f>VLOOKUP(C393,[2]Sheet2!$T$3:$V$92,3,FALSE)</f>
        <v>63</v>
      </c>
      <c r="H393" s="23" t="s">
        <v>68</v>
      </c>
      <c r="I393" s="23" t="s">
        <v>436</v>
      </c>
      <c r="J393" s="23"/>
      <c r="K393" s="6">
        <v>0</v>
      </c>
      <c r="L393" s="23" t="s">
        <v>890</v>
      </c>
      <c r="M393" s="23"/>
      <c r="N393" s="23"/>
      <c r="O393" s="23" t="e">
        <f t="shared" si="68"/>
        <v>#VALUE!</v>
      </c>
      <c r="P393" s="23"/>
      <c r="Q393" s="23"/>
      <c r="R393" s="27"/>
      <c r="S393" s="27"/>
      <c r="T393" s="23">
        <v>50177653</v>
      </c>
      <c r="U393" s="28">
        <v>4130693906647</v>
      </c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 t="s">
        <v>41</v>
      </c>
      <c r="AN393" s="32" t="s">
        <v>58</v>
      </c>
      <c r="AO393" s="32" t="s">
        <v>58</v>
      </c>
      <c r="AP393" s="32" t="s">
        <v>58</v>
      </c>
      <c r="AQ393" s="23"/>
      <c r="AR393" s="23"/>
      <c r="AS393" s="23" t="str">
        <f t="shared" si="69"/>
        <v>Yes</v>
      </c>
      <c r="AT393" s="29" t="str">
        <f t="shared" si="59"/>
        <v>Yes</v>
      </c>
      <c r="AU393" s="30"/>
      <c r="AV393" s="31" t="s">
        <v>64</v>
      </c>
      <c r="AW393" s="31"/>
      <c r="AX393" s="2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</row>
    <row r="394" spans="1:74" x14ac:dyDescent="0.25">
      <c r="A394" s="25">
        <v>390</v>
      </c>
      <c r="B394" s="23" t="s">
        <v>1097</v>
      </c>
      <c r="C394" s="23" t="s">
        <v>1070</v>
      </c>
      <c r="D394" s="26" t="s">
        <v>1098</v>
      </c>
      <c r="E394" s="23">
        <v>7</v>
      </c>
      <c r="F394" s="23" t="s">
        <v>264</v>
      </c>
      <c r="G394" s="23">
        <f>VLOOKUP(C394,[2]Sheet2!$T$3:$V$92,3,FALSE)</f>
        <v>63</v>
      </c>
      <c r="H394" s="23" t="s">
        <v>68</v>
      </c>
      <c r="I394" s="23" t="s">
        <v>436</v>
      </c>
      <c r="J394" s="23"/>
      <c r="K394" s="6">
        <v>0</v>
      </c>
      <c r="L394" s="23" t="s">
        <v>890</v>
      </c>
      <c r="M394" s="23"/>
      <c r="N394" s="23"/>
      <c r="O394" s="23" t="e">
        <f t="shared" si="68"/>
        <v>#VALUE!</v>
      </c>
      <c r="P394" s="23"/>
      <c r="Q394" s="23"/>
      <c r="R394" s="27"/>
      <c r="S394" s="27"/>
      <c r="T394" s="23">
        <v>50137314</v>
      </c>
      <c r="U394" s="28" t="s">
        <v>1099</v>
      </c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 t="s">
        <v>73</v>
      </c>
      <c r="AN394" s="23"/>
      <c r="AO394" s="23"/>
      <c r="AP394" s="23"/>
      <c r="AQ394" s="23"/>
      <c r="AR394" s="23"/>
      <c r="AS394" s="23" t="str">
        <f t="shared" si="69"/>
        <v>No</v>
      </c>
      <c r="AT394" s="29" t="str">
        <f t="shared" si="59"/>
        <v>NA</v>
      </c>
      <c r="AU394" s="30"/>
      <c r="AV394" s="31" t="s">
        <v>64</v>
      </c>
      <c r="AW394" s="31"/>
      <c r="AX394" s="2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</row>
    <row r="395" spans="1:74" x14ac:dyDescent="0.25">
      <c r="A395" s="25">
        <v>391</v>
      </c>
      <c r="B395" s="23" t="s">
        <v>1100</v>
      </c>
      <c r="C395" s="23" t="s">
        <v>1070</v>
      </c>
      <c r="D395" s="26" t="s">
        <v>1101</v>
      </c>
      <c r="E395" s="23">
        <v>5</v>
      </c>
      <c r="F395" s="23" t="s">
        <v>161</v>
      </c>
      <c r="G395" s="23">
        <f>VLOOKUP(C395,[2]Sheet2!$T$3:$V$92,3,FALSE)</f>
        <v>63</v>
      </c>
      <c r="H395" s="23" t="s">
        <v>68</v>
      </c>
      <c r="I395" s="23" t="s">
        <v>436</v>
      </c>
      <c r="J395" s="23"/>
      <c r="K395" s="6">
        <v>0</v>
      </c>
      <c r="L395" s="23" t="s">
        <v>890</v>
      </c>
      <c r="M395" s="63" t="s">
        <v>258</v>
      </c>
      <c r="N395" s="63"/>
      <c r="O395" s="23" t="e">
        <f t="shared" si="68"/>
        <v>#VALUE!</v>
      </c>
      <c r="P395" s="63"/>
      <c r="Q395" s="63"/>
      <c r="R395" s="64">
        <v>36669</v>
      </c>
      <c r="S395" s="64">
        <v>45405</v>
      </c>
      <c r="T395" s="23">
        <v>10041588</v>
      </c>
      <c r="U395" s="28" t="s">
        <v>1102</v>
      </c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 t="s">
        <v>73</v>
      </c>
      <c r="AN395" s="23"/>
      <c r="AO395" s="23"/>
      <c r="AP395" s="23"/>
      <c r="AQ395" s="23"/>
      <c r="AR395" s="23"/>
      <c r="AS395" s="23" t="str">
        <f t="shared" si="69"/>
        <v>No</v>
      </c>
      <c r="AT395" s="29" t="str">
        <f t="shared" si="59"/>
        <v>NA</v>
      </c>
      <c r="AU395" s="30"/>
      <c r="AV395" s="31"/>
      <c r="AW395" s="31"/>
      <c r="AX395" s="2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</row>
    <row r="396" spans="1:74" x14ac:dyDescent="0.25">
      <c r="A396" s="25">
        <v>392</v>
      </c>
      <c r="B396" s="23" t="s">
        <v>1103</v>
      </c>
      <c r="C396" s="23" t="s">
        <v>1070</v>
      </c>
      <c r="D396" s="26" t="s">
        <v>1104</v>
      </c>
      <c r="E396" s="23">
        <v>5</v>
      </c>
      <c r="F396" s="23" t="s">
        <v>71</v>
      </c>
      <c r="G396" s="23">
        <f>VLOOKUP(C396,[2]Sheet2!$T$3:$V$92,3,FALSE)</f>
        <v>63</v>
      </c>
      <c r="H396" s="23" t="s">
        <v>68</v>
      </c>
      <c r="I396" s="23" t="s">
        <v>436</v>
      </c>
      <c r="J396" s="23"/>
      <c r="K396" s="6">
        <v>0</v>
      </c>
      <c r="L396" s="23" t="s">
        <v>890</v>
      </c>
      <c r="M396" s="23"/>
      <c r="N396" s="23"/>
      <c r="O396" s="23" t="e">
        <f t="shared" si="68"/>
        <v>#VALUE!</v>
      </c>
      <c r="P396" s="23"/>
      <c r="Q396" s="23"/>
      <c r="R396" s="27"/>
      <c r="S396" s="27"/>
      <c r="T396" s="23">
        <v>10610822</v>
      </c>
      <c r="U396" s="28" t="s">
        <v>1105</v>
      </c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 t="s">
        <v>40</v>
      </c>
      <c r="AN396" s="23"/>
      <c r="AO396" s="23" t="s">
        <v>58</v>
      </c>
      <c r="AP396" s="23"/>
      <c r="AQ396" s="23"/>
      <c r="AR396" s="23"/>
      <c r="AS396" s="23" t="str">
        <f t="shared" si="69"/>
        <v>No</v>
      </c>
      <c r="AT396" s="29" t="str">
        <f t="shared" si="59"/>
        <v>Yes</v>
      </c>
      <c r="AU396" s="30"/>
      <c r="AV396" s="31"/>
      <c r="AW396" s="31"/>
      <c r="AX396" s="2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</row>
    <row r="397" spans="1:74" x14ac:dyDescent="0.25">
      <c r="A397" s="25">
        <v>394</v>
      </c>
      <c r="B397" s="23" t="s">
        <v>1106</v>
      </c>
      <c r="C397" s="23" t="s">
        <v>1070</v>
      </c>
      <c r="D397" s="26" t="s">
        <v>1107</v>
      </c>
      <c r="E397" s="23">
        <v>4</v>
      </c>
      <c r="F397" s="23" t="s">
        <v>71</v>
      </c>
      <c r="G397" s="23">
        <f>VLOOKUP(C397,[2]Sheet2!$T$3:$V$92,3,FALSE)</f>
        <v>63</v>
      </c>
      <c r="H397" s="23" t="s">
        <v>68</v>
      </c>
      <c r="I397" s="23" t="s">
        <v>436</v>
      </c>
      <c r="J397" s="23"/>
      <c r="K397" s="6">
        <v>0</v>
      </c>
      <c r="L397" s="23" t="s">
        <v>890</v>
      </c>
      <c r="M397" s="23"/>
      <c r="N397" s="23"/>
      <c r="O397" s="23" t="e">
        <f t="shared" si="68"/>
        <v>#VALUE!</v>
      </c>
      <c r="P397" s="23"/>
      <c r="Q397" s="23"/>
      <c r="R397" s="27"/>
      <c r="S397" s="27"/>
      <c r="T397" s="23">
        <v>50702470</v>
      </c>
      <c r="U397" s="28" t="s">
        <v>1108</v>
      </c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 t="s">
        <v>42</v>
      </c>
      <c r="AN397" s="32" t="s">
        <v>58</v>
      </c>
      <c r="AO397" s="23"/>
      <c r="AP397" s="23" t="s">
        <v>189</v>
      </c>
      <c r="AQ397" s="23" t="s">
        <v>189</v>
      </c>
      <c r="AR397" s="23"/>
      <c r="AS397" s="23" t="str">
        <f t="shared" si="69"/>
        <v>Yes</v>
      </c>
      <c r="AT397" s="29" t="str">
        <f t="shared" si="59"/>
        <v>No</v>
      </c>
      <c r="AU397" s="30"/>
      <c r="AV397" s="31"/>
      <c r="AW397" s="31"/>
      <c r="AX397" s="2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</row>
    <row r="398" spans="1:74" x14ac:dyDescent="0.25">
      <c r="A398" s="25">
        <v>393</v>
      </c>
      <c r="B398" s="23" t="s">
        <v>1109</v>
      </c>
      <c r="C398" s="23" t="s">
        <v>1070</v>
      </c>
      <c r="D398" s="26" t="s">
        <v>1110</v>
      </c>
      <c r="E398" s="23">
        <v>4</v>
      </c>
      <c r="F398" s="23" t="s">
        <v>161</v>
      </c>
      <c r="G398" s="23">
        <f>VLOOKUP(C398,[2]Sheet2!$T$3:$V$92,3,FALSE)</f>
        <v>63</v>
      </c>
      <c r="H398" s="23" t="s">
        <v>68</v>
      </c>
      <c r="I398" s="23" t="s">
        <v>436</v>
      </c>
      <c r="J398" s="23"/>
      <c r="K398" s="6">
        <v>0</v>
      </c>
      <c r="L398" s="23" t="s">
        <v>890</v>
      </c>
      <c r="M398" s="63" t="s">
        <v>258</v>
      </c>
      <c r="N398" s="63"/>
      <c r="O398" s="23" t="e">
        <f t="shared" si="68"/>
        <v>#VALUE!</v>
      </c>
      <c r="P398" s="63"/>
      <c r="Q398" s="63"/>
      <c r="R398" s="64">
        <v>38668</v>
      </c>
      <c r="S398" s="64">
        <v>40003</v>
      </c>
      <c r="T398" s="23">
        <v>10434057</v>
      </c>
      <c r="U398" s="28" t="s">
        <v>1111</v>
      </c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 t="s">
        <v>73</v>
      </c>
      <c r="AN398" s="23"/>
      <c r="AO398" s="23"/>
      <c r="AP398" s="23"/>
      <c r="AQ398" s="23"/>
      <c r="AR398" s="23"/>
      <c r="AS398" s="23" t="str">
        <f t="shared" si="69"/>
        <v>No</v>
      </c>
      <c r="AT398" s="29" t="str">
        <f t="shared" ref="AT398:AT406" si="70">IF(AM398="Matric",IF(AN398="Yes","Yes",IF(AN398="Under Process", "Under Process","No")),IF(AM398="Inter",IF(AO398="Yes","Yes",IF(AO398="Under Process", "Under Process","No")),IF(AM398="Bachelor",IF(AP398="Yes","Yes",IF(AP398="Under Process", "Under Process","No")),IF(AM398="Master",IF(AQ398="Yes","Yes",IF(AQ398="Under Process", "Under Process","No")),IF(AM398="Vacant",IF(D406="Yes","No","Vacant"),IF(AM398="NA",IF(D406="Yes","No","NA"),"No"))))))</f>
        <v>NA</v>
      </c>
      <c r="AU398" s="30"/>
      <c r="AV398" s="31"/>
      <c r="AW398" s="31"/>
      <c r="AX398" s="2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</row>
    <row r="399" spans="1:74" x14ac:dyDescent="0.25">
      <c r="A399" s="25">
        <v>395</v>
      </c>
      <c r="B399" s="23" t="s">
        <v>1112</v>
      </c>
      <c r="C399" s="23" t="s">
        <v>1113</v>
      </c>
      <c r="D399" s="45" t="s">
        <v>1114</v>
      </c>
      <c r="E399" s="23">
        <v>18</v>
      </c>
      <c r="F399" s="23" t="s">
        <v>440</v>
      </c>
      <c r="G399" s="23">
        <f>VLOOKUP(C399,[2]Sheet2!$T$3:$V$92,3,FALSE)</f>
        <v>64</v>
      </c>
      <c r="H399" s="23" t="s">
        <v>54</v>
      </c>
      <c r="I399" s="23" t="s">
        <v>436</v>
      </c>
      <c r="J399" s="23"/>
      <c r="L399" s="23"/>
      <c r="M399" s="23"/>
      <c r="N399" s="23" t="s">
        <v>56</v>
      </c>
      <c r="O399" s="23" t="e">
        <f ca="1">IF(ISNUMBER(SEARCH("to", N399)),
_xlfn.LET(
    _xlpm.text_n3, N399,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399" s="23"/>
      <c r="Q399" s="23" t="s">
        <v>57</v>
      </c>
      <c r="R399" s="27"/>
      <c r="S399" s="27"/>
      <c r="T399" s="23">
        <v>10111891</v>
      </c>
      <c r="U399" s="28">
        <v>4210178463685</v>
      </c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 t="s">
        <v>42</v>
      </c>
      <c r="AN399" s="23"/>
      <c r="AO399" s="23"/>
      <c r="AP399" s="23"/>
      <c r="AQ399" s="23" t="s">
        <v>58</v>
      </c>
      <c r="AR399" s="23"/>
      <c r="AS399" s="23" t="str">
        <f t="shared" ref="AS399:AS404" si="71">IF(AND(AN399="Yes", AO399="Yes", AP399="Yes"), "Yes", IF(AND(AN399="", AO399="", AP399=""), "No", "Incomplete"))</f>
        <v>No</v>
      </c>
      <c r="AT399" s="29" t="str">
        <f t="shared" si="70"/>
        <v>Yes</v>
      </c>
      <c r="AU399" s="30"/>
      <c r="AV399" s="31"/>
      <c r="AW399" s="31" t="s">
        <v>59</v>
      </c>
      <c r="AX399" s="2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</row>
    <row r="400" spans="1:74" x14ac:dyDescent="0.25">
      <c r="A400" s="25">
        <v>396</v>
      </c>
      <c r="B400" s="23" t="s">
        <v>1115</v>
      </c>
      <c r="C400" s="23" t="s">
        <v>1113</v>
      </c>
      <c r="D400" s="26" t="s">
        <v>1116</v>
      </c>
      <c r="E400" s="23">
        <v>17</v>
      </c>
      <c r="F400" s="23" t="s">
        <v>586</v>
      </c>
      <c r="G400" s="23">
        <f>VLOOKUP(C400,[2]Sheet2!$T$3:$V$92,3,FALSE)</f>
        <v>64</v>
      </c>
      <c r="H400" s="23" t="s">
        <v>54</v>
      </c>
      <c r="I400" s="23" t="s">
        <v>436</v>
      </c>
      <c r="J400" s="23"/>
      <c r="L400" s="23"/>
      <c r="M400" s="23"/>
      <c r="N400" s="23" t="s">
        <v>56</v>
      </c>
      <c r="O400" s="23" t="e">
        <f ca="1">IF(ISNUMBER(SEARCH("to", N400)),
_xlfn.LET(
    _xlpm.text_n3, N400,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400" s="23"/>
      <c r="Q400" s="23" t="s">
        <v>57</v>
      </c>
      <c r="R400" s="27"/>
      <c r="S400" s="27"/>
      <c r="T400" s="23">
        <v>10112333</v>
      </c>
      <c r="U400" s="28">
        <v>4220104528281</v>
      </c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 t="s">
        <v>41</v>
      </c>
      <c r="AN400" s="23" t="s">
        <v>58</v>
      </c>
      <c r="AO400" s="23" t="s">
        <v>58</v>
      </c>
      <c r="AP400" s="23" t="s">
        <v>58</v>
      </c>
      <c r="AQ400" s="23"/>
      <c r="AR400" s="23"/>
      <c r="AS400" s="23" t="str">
        <f t="shared" si="71"/>
        <v>Yes</v>
      </c>
      <c r="AT400" s="29" t="str">
        <f t="shared" si="70"/>
        <v>Yes</v>
      </c>
      <c r="AU400" s="30"/>
      <c r="AV400" s="31"/>
      <c r="AW400" s="31" t="s">
        <v>59</v>
      </c>
      <c r="AX400" s="2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</row>
    <row r="401" spans="1:74" x14ac:dyDescent="0.25">
      <c r="A401" s="25">
        <v>397</v>
      </c>
      <c r="B401" s="23" t="s">
        <v>1117</v>
      </c>
      <c r="C401" s="23" t="s">
        <v>1113</v>
      </c>
      <c r="D401" s="26" t="s">
        <v>66</v>
      </c>
      <c r="E401" s="23">
        <v>16</v>
      </c>
      <c r="F401" s="23" t="s">
        <v>67</v>
      </c>
      <c r="G401" s="23">
        <f>VLOOKUP(C401,[2]Sheet2!$T$3:$V$92,3,FALSE)</f>
        <v>64</v>
      </c>
      <c r="H401" s="23" t="s">
        <v>68</v>
      </c>
      <c r="I401" s="23" t="s">
        <v>436</v>
      </c>
      <c r="J401" s="23"/>
      <c r="K401" s="6">
        <v>0</v>
      </c>
      <c r="L401" s="23"/>
      <c r="M401" s="23"/>
      <c r="N401" s="23"/>
      <c r="O401" s="23" t="e">
        <f t="shared" ref="O401:O412" si="72">IF(DATEVALUE(MID(N401,15,10))-DATEVALUE(LEFT(N401,10))+1&gt;=365,"1 Year",
DATEDIF(DATEVALUE(LEFT(N401,10)),DATEVALUE(MID(N401,15,10)),"Y")&amp;" Years, "&amp;DATEDIF(DATEVALUE(LEFT(N401,10)),DATEVALUE(MID(N401,15,10)),"YM")&amp;" Months, "&amp;DATEDIF(DATEVALUE(LEFT(N401,10)),DATEVALUE(MID(N401,15,10)),"MD")&amp;" Days")</f>
        <v>#VALUE!</v>
      </c>
      <c r="P401" s="23"/>
      <c r="Q401" s="23"/>
      <c r="R401" s="27"/>
      <c r="S401" s="27"/>
      <c r="T401" s="23"/>
      <c r="U401" s="28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 t="s">
        <v>66</v>
      </c>
      <c r="AN401" s="23"/>
      <c r="AO401" s="23"/>
      <c r="AP401" s="23"/>
      <c r="AQ401" s="23"/>
      <c r="AR401" s="23"/>
      <c r="AS401" s="23" t="str">
        <f t="shared" si="71"/>
        <v>No</v>
      </c>
      <c r="AT401" s="29" t="str">
        <f t="shared" si="70"/>
        <v>Vacant</v>
      </c>
      <c r="AU401" s="30"/>
      <c r="AV401" s="31"/>
      <c r="AW401" s="31"/>
      <c r="AX401" s="2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</row>
    <row r="402" spans="1:74" ht="28.5" x14ac:dyDescent="0.25">
      <c r="A402" s="25">
        <v>398</v>
      </c>
      <c r="B402" s="23" t="s">
        <v>1118</v>
      </c>
      <c r="C402" s="23" t="s">
        <v>1113</v>
      </c>
      <c r="D402" s="26" t="s">
        <v>1119</v>
      </c>
      <c r="E402" s="23">
        <v>15</v>
      </c>
      <c r="F402" s="23" t="s">
        <v>108</v>
      </c>
      <c r="G402" s="23">
        <f>VLOOKUP(C402,[2]Sheet2!$T$3:$V$92,3,FALSE)</f>
        <v>64</v>
      </c>
      <c r="H402" s="23" t="s">
        <v>68</v>
      </c>
      <c r="I402" s="23" t="s">
        <v>436</v>
      </c>
      <c r="J402" s="23"/>
      <c r="K402" s="6">
        <v>0</v>
      </c>
      <c r="L402" s="23" t="s">
        <v>890</v>
      </c>
      <c r="M402" s="23"/>
      <c r="N402" s="23" t="s">
        <v>95</v>
      </c>
      <c r="O402" s="23" t="str">
        <f t="shared" si="72"/>
        <v>1 Year</v>
      </c>
      <c r="P402" s="23" t="s">
        <v>1010</v>
      </c>
      <c r="Q402" s="23" t="s">
        <v>646</v>
      </c>
      <c r="R402" s="27"/>
      <c r="S402" s="27"/>
      <c r="T402" s="23">
        <v>50673073</v>
      </c>
      <c r="U402" s="28">
        <v>4120192202803</v>
      </c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 t="s">
        <v>41</v>
      </c>
      <c r="AN402" s="23" t="s">
        <v>58</v>
      </c>
      <c r="AO402" s="23" t="s">
        <v>58</v>
      </c>
      <c r="AP402" s="23" t="s">
        <v>58</v>
      </c>
      <c r="AQ402" s="23"/>
      <c r="AR402" s="23"/>
      <c r="AS402" s="23" t="str">
        <f t="shared" si="71"/>
        <v>Yes</v>
      </c>
      <c r="AT402" s="29" t="str">
        <f t="shared" si="70"/>
        <v>Yes</v>
      </c>
      <c r="AU402" s="30"/>
      <c r="AV402" s="31"/>
      <c r="AW402" s="31"/>
      <c r="AX402" s="2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</row>
    <row r="403" spans="1:74" ht="28.5" x14ac:dyDescent="0.25">
      <c r="A403" s="25">
        <v>399</v>
      </c>
      <c r="B403" s="23" t="s">
        <v>1120</v>
      </c>
      <c r="C403" s="23" t="s">
        <v>1113</v>
      </c>
      <c r="D403" s="26" t="s">
        <v>1121</v>
      </c>
      <c r="E403" s="23">
        <v>15</v>
      </c>
      <c r="F403" s="23" t="s">
        <v>108</v>
      </c>
      <c r="G403" s="23">
        <f>VLOOKUP(C403,[2]Sheet2!$T$3:$V$92,3,FALSE)</f>
        <v>64</v>
      </c>
      <c r="H403" s="23" t="s">
        <v>68</v>
      </c>
      <c r="I403" s="23" t="s">
        <v>436</v>
      </c>
      <c r="J403" s="23">
        <v>3</v>
      </c>
      <c r="K403" s="6">
        <v>0.7</v>
      </c>
      <c r="L403" s="23" t="s">
        <v>427</v>
      </c>
      <c r="M403" s="23"/>
      <c r="N403" s="23" t="s">
        <v>95</v>
      </c>
      <c r="O403" s="23" t="str">
        <f t="shared" si="72"/>
        <v>1 Year</v>
      </c>
      <c r="P403" s="23" t="s">
        <v>677</v>
      </c>
      <c r="Q403" s="23" t="s">
        <v>646</v>
      </c>
      <c r="R403" s="27"/>
      <c r="S403" s="27"/>
      <c r="T403" s="23">
        <v>50673070</v>
      </c>
      <c r="U403" s="28">
        <v>4340205293573</v>
      </c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 t="s">
        <v>41</v>
      </c>
      <c r="AN403" s="23" t="s">
        <v>58</v>
      </c>
      <c r="AO403" s="23" t="s">
        <v>58</v>
      </c>
      <c r="AP403" s="23" t="s">
        <v>58</v>
      </c>
      <c r="AQ403" s="23"/>
      <c r="AR403" s="23"/>
      <c r="AS403" s="23" t="str">
        <f t="shared" si="71"/>
        <v>Yes</v>
      </c>
      <c r="AT403" s="29" t="str">
        <f t="shared" si="70"/>
        <v>Yes</v>
      </c>
      <c r="AU403" s="30"/>
      <c r="AV403" s="31"/>
      <c r="AW403" s="31"/>
      <c r="AX403" s="2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</row>
    <row r="404" spans="1:74" ht="28.5" x14ac:dyDescent="0.25">
      <c r="A404" s="25">
        <v>400</v>
      </c>
      <c r="B404" s="23" t="s">
        <v>1122</v>
      </c>
      <c r="C404" s="23" t="s">
        <v>1113</v>
      </c>
      <c r="D404" s="26" t="s">
        <v>1123</v>
      </c>
      <c r="E404" s="23">
        <v>14</v>
      </c>
      <c r="F404" s="23" t="s">
        <v>108</v>
      </c>
      <c r="G404" s="23">
        <f>VLOOKUP(C404,[2]Sheet2!$T$3:$V$92,3,FALSE)</f>
        <v>64</v>
      </c>
      <c r="H404" s="23" t="s">
        <v>68</v>
      </c>
      <c r="I404" s="23" t="s">
        <v>436</v>
      </c>
      <c r="J404" s="23">
        <v>3</v>
      </c>
      <c r="K404" s="6">
        <v>0.6</v>
      </c>
      <c r="L404" s="23" t="s">
        <v>376</v>
      </c>
      <c r="M404" s="23"/>
      <c r="N404" s="23" t="s">
        <v>95</v>
      </c>
      <c r="O404" s="23" t="str">
        <f t="shared" si="72"/>
        <v>1 Year</v>
      </c>
      <c r="P404" s="23" t="s">
        <v>677</v>
      </c>
      <c r="Q404" s="23" t="s">
        <v>646</v>
      </c>
      <c r="R404" s="27"/>
      <c r="S404" s="27"/>
      <c r="T404" s="23">
        <v>10956820</v>
      </c>
      <c r="U404" s="28">
        <v>4320388971191</v>
      </c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 t="s">
        <v>41</v>
      </c>
      <c r="AN404" s="23" t="s">
        <v>58</v>
      </c>
      <c r="AO404" s="23" t="s">
        <v>58</v>
      </c>
      <c r="AP404" s="23" t="s">
        <v>58</v>
      </c>
      <c r="AQ404" s="23"/>
      <c r="AR404" s="23"/>
      <c r="AS404" s="23" t="str">
        <f t="shared" si="71"/>
        <v>Yes</v>
      </c>
      <c r="AT404" s="29" t="str">
        <f t="shared" si="70"/>
        <v>Yes</v>
      </c>
      <c r="AU404" s="30"/>
      <c r="AV404" s="31"/>
      <c r="AW404" s="31"/>
      <c r="AX404" s="2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</row>
    <row r="405" spans="1:74" x14ac:dyDescent="0.25">
      <c r="A405" s="25">
        <v>401</v>
      </c>
      <c r="B405" s="23" t="s">
        <v>1124</v>
      </c>
      <c r="C405" s="23" t="s">
        <v>1113</v>
      </c>
      <c r="D405" s="26" t="s">
        <v>1125</v>
      </c>
      <c r="E405" s="23">
        <v>13</v>
      </c>
      <c r="F405" s="23" t="s">
        <v>131</v>
      </c>
      <c r="G405" s="23">
        <f>VLOOKUP(C405,[2]Sheet2!$T$3:$V$92,3,FALSE)</f>
        <v>64</v>
      </c>
      <c r="H405" s="23" t="s">
        <v>68</v>
      </c>
      <c r="I405" s="23" t="s">
        <v>436</v>
      </c>
      <c r="J405" s="23"/>
      <c r="K405" s="6">
        <v>0</v>
      </c>
      <c r="L405" s="23" t="s">
        <v>890</v>
      </c>
      <c r="M405" s="23"/>
      <c r="N405" s="23"/>
      <c r="O405" s="23" t="e">
        <f t="shared" si="72"/>
        <v>#VALUE!</v>
      </c>
      <c r="P405" s="23"/>
      <c r="Q405" s="23"/>
      <c r="R405" s="27"/>
      <c r="S405" s="27"/>
      <c r="T405" s="23">
        <v>10400252</v>
      </c>
      <c r="U405" s="28">
        <v>4120175565489</v>
      </c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 t="s">
        <v>42</v>
      </c>
      <c r="AN405" s="23" t="s">
        <v>58</v>
      </c>
      <c r="AO405" s="23"/>
      <c r="AP405" s="32" t="s">
        <v>58</v>
      </c>
      <c r="AQ405" s="32" t="s">
        <v>58</v>
      </c>
      <c r="AR405" s="32" t="s">
        <v>493</v>
      </c>
      <c r="AS405" s="23" t="str">
        <f>IF(AND(AN405="Yes", AO405="Yes"), "Yes", IF(AND(AN405="", AO405=""), "No", "Incomplete"))</f>
        <v>Incomplete</v>
      </c>
      <c r="AT405" s="29" t="str">
        <f t="shared" si="70"/>
        <v>Yes</v>
      </c>
      <c r="AU405" s="30"/>
      <c r="AV405" s="31"/>
      <c r="AW405" s="31"/>
      <c r="AX405" s="2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</row>
    <row r="406" spans="1:74" x14ac:dyDescent="0.25">
      <c r="A406" s="25">
        <v>402</v>
      </c>
      <c r="B406" s="23" t="s">
        <v>1126</v>
      </c>
      <c r="C406" s="23" t="s">
        <v>1113</v>
      </c>
      <c r="D406" s="26" t="s">
        <v>1127</v>
      </c>
      <c r="E406" s="23">
        <v>11</v>
      </c>
      <c r="F406" s="23" t="s">
        <v>138</v>
      </c>
      <c r="G406" s="23">
        <f>VLOOKUP(C406,[2]Sheet2!$T$3:$V$92,3,FALSE)</f>
        <v>64</v>
      </c>
      <c r="H406" s="23" t="s">
        <v>68</v>
      </c>
      <c r="I406" s="23" t="s">
        <v>436</v>
      </c>
      <c r="J406" s="23"/>
      <c r="K406" s="6">
        <v>0</v>
      </c>
      <c r="L406" s="23" t="s">
        <v>890</v>
      </c>
      <c r="M406" s="23"/>
      <c r="N406" s="23"/>
      <c r="O406" s="23" t="e">
        <f t="shared" si="72"/>
        <v>#VALUE!</v>
      </c>
      <c r="P406" s="23"/>
      <c r="Q406" s="23"/>
      <c r="R406" s="27"/>
      <c r="S406" s="27"/>
      <c r="T406" s="23">
        <v>50751359</v>
      </c>
      <c r="U406" s="28">
        <v>4310273284901</v>
      </c>
      <c r="V406" s="23"/>
      <c r="W406" s="23" t="s">
        <v>212</v>
      </c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 t="s">
        <v>40</v>
      </c>
      <c r="AN406" s="23" t="s">
        <v>58</v>
      </c>
      <c r="AO406" s="23" t="s">
        <v>58</v>
      </c>
      <c r="AP406" s="23"/>
      <c r="AQ406" s="23"/>
      <c r="AR406" s="23"/>
      <c r="AS406" s="23" t="str">
        <f t="shared" ref="AS406:AS412" si="73">IF(AND(AN406="Yes"), "Yes", IF(AND(AN406=""), "No", "Incomplete"))</f>
        <v>Yes</v>
      </c>
      <c r="AT406" s="29" t="str">
        <f t="shared" si="70"/>
        <v>Yes</v>
      </c>
      <c r="AU406" s="30"/>
      <c r="AV406" s="31"/>
      <c r="AW406" s="31"/>
      <c r="AX406" s="2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</row>
    <row r="407" spans="1:74" x14ac:dyDescent="0.25">
      <c r="A407" s="25">
        <v>403</v>
      </c>
      <c r="B407" s="23" t="s">
        <v>1128</v>
      </c>
      <c r="C407" s="23" t="s">
        <v>1113</v>
      </c>
      <c r="D407" s="26" t="s">
        <v>1129</v>
      </c>
      <c r="E407" s="23">
        <v>11</v>
      </c>
      <c r="F407" s="23" t="s">
        <v>138</v>
      </c>
      <c r="G407" s="23">
        <f>VLOOKUP(C407,[2]Sheet2!$T$3:$V$92,3,FALSE)</f>
        <v>64</v>
      </c>
      <c r="H407" s="23" t="s">
        <v>68</v>
      </c>
      <c r="I407" s="23" t="s">
        <v>436</v>
      </c>
      <c r="J407" s="23">
        <v>3</v>
      </c>
      <c r="K407" s="6">
        <v>0.6</v>
      </c>
      <c r="L407" s="23" t="s">
        <v>376</v>
      </c>
      <c r="M407" s="23"/>
      <c r="N407" s="23"/>
      <c r="O407" s="23" t="e">
        <f t="shared" si="72"/>
        <v>#VALUE!</v>
      </c>
      <c r="P407" s="23"/>
      <c r="Q407" s="23"/>
      <c r="R407" s="27"/>
      <c r="S407" s="27"/>
      <c r="T407" s="23">
        <v>50366966</v>
      </c>
      <c r="U407" s="28">
        <v>4530334559097</v>
      </c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 t="s">
        <v>39</v>
      </c>
      <c r="AN407" s="23" t="s">
        <v>58</v>
      </c>
      <c r="AO407" s="23"/>
      <c r="AP407" s="23"/>
      <c r="AQ407" s="23"/>
      <c r="AR407" s="23"/>
      <c r="AS407" s="23" t="str">
        <f t="shared" si="73"/>
        <v>Yes</v>
      </c>
      <c r="AT407" s="29" t="str">
        <f>IF(AM407="Matric",IF(AN407="Yes","Yes",IF(AN407="Under Process", "Under Process","No")),IF(AM407="Inter",IF(AO407="Yes","Yes",IF(AO407="Under Process", "Under Process","No")),IF(AM407="Bachelor",IF(AP407="Yes","Yes",IF(AP407="Under Process", "Under Process","No")),IF(AM407="Master",IF(AQ407="Yes","Yes",IF(AQ407="Under Process", "Under Process","No")),IF(AM407="Vacant",IF(D427="Yes","No","Vacant"),IF(AM407="NA",IF(D427="Yes","No","NA"),"No"))))))</f>
        <v>Yes</v>
      </c>
      <c r="AU407" s="30"/>
      <c r="AV407" s="31"/>
      <c r="AW407" s="31"/>
      <c r="AX407" s="2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</row>
    <row r="408" spans="1:74" x14ac:dyDescent="0.25">
      <c r="A408" s="25">
        <v>404</v>
      </c>
      <c r="B408" s="23" t="s">
        <v>1130</v>
      </c>
      <c r="C408" s="23" t="s">
        <v>1113</v>
      </c>
      <c r="D408" s="26" t="s">
        <v>1131</v>
      </c>
      <c r="E408" s="23">
        <v>7</v>
      </c>
      <c r="F408" s="23" t="s">
        <v>264</v>
      </c>
      <c r="G408" s="23">
        <f>VLOOKUP(C408,[2]Sheet2!$T$3:$V$92,3,FALSE)</f>
        <v>64</v>
      </c>
      <c r="H408" s="23" t="s">
        <v>68</v>
      </c>
      <c r="I408" s="23" t="s">
        <v>436</v>
      </c>
      <c r="J408" s="23"/>
      <c r="K408" s="6">
        <v>0</v>
      </c>
      <c r="L408" s="23" t="s">
        <v>890</v>
      </c>
      <c r="M408" s="23"/>
      <c r="N408" s="23"/>
      <c r="O408" s="23" t="e">
        <f t="shared" si="72"/>
        <v>#VALUE!</v>
      </c>
      <c r="P408" s="23"/>
      <c r="Q408" s="23"/>
      <c r="R408" s="27"/>
      <c r="S408" s="27"/>
      <c r="T408" s="23">
        <v>10261715</v>
      </c>
      <c r="U408" s="28">
        <v>4120157656679</v>
      </c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 t="s">
        <v>39</v>
      </c>
      <c r="AN408" s="32" t="s">
        <v>58</v>
      </c>
      <c r="AO408" s="23"/>
      <c r="AP408" s="23"/>
      <c r="AQ408" s="23"/>
      <c r="AR408" s="23"/>
      <c r="AS408" s="23" t="str">
        <f t="shared" si="73"/>
        <v>Yes</v>
      </c>
      <c r="AT408" s="29" t="str">
        <f t="shared" ref="AT408:AT414" si="74">IF(AM408="Matric",IF(AN408="Yes","Yes",IF(AN408="Under Process", "Under Process","No")),IF(AM408="Inter",IF(AO408="Yes","Yes",IF(AO408="Under Process", "Under Process","No")),IF(AM408="Bachelor",IF(AP408="Yes","Yes",IF(AP408="Under Process", "Under Process","No")),IF(AM408="Master",IF(AQ408="Yes","Yes",IF(AQ408="Under Process", "Under Process","No")),IF(AM408="Vacant",IF(D416="Yes","No","Vacant"),IF(AM408="NA",IF(D416="Yes","No","NA"),"No"))))))</f>
        <v>Yes</v>
      </c>
      <c r="AU408" s="30"/>
      <c r="AV408" s="31"/>
      <c r="AW408" s="31"/>
      <c r="AX408" s="2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</row>
    <row r="409" spans="1:74" x14ac:dyDescent="0.25">
      <c r="A409" s="25">
        <v>405</v>
      </c>
      <c r="B409" s="23" t="s">
        <v>1132</v>
      </c>
      <c r="C409" s="23" t="s">
        <v>1113</v>
      </c>
      <c r="D409" s="26" t="s">
        <v>1133</v>
      </c>
      <c r="E409" s="23">
        <v>5</v>
      </c>
      <c r="F409" s="23" t="s">
        <v>71</v>
      </c>
      <c r="G409" s="23">
        <f>VLOOKUP(C409,[2]Sheet2!$T$3:$V$92,3,FALSE)</f>
        <v>64</v>
      </c>
      <c r="H409" s="23" t="s">
        <v>68</v>
      </c>
      <c r="I409" s="23" t="s">
        <v>436</v>
      </c>
      <c r="J409" s="23"/>
      <c r="K409" s="6">
        <v>0</v>
      </c>
      <c r="L409" s="23" t="s">
        <v>890</v>
      </c>
      <c r="M409" s="23"/>
      <c r="N409" s="23"/>
      <c r="O409" s="23" t="e">
        <f t="shared" si="72"/>
        <v>#VALUE!</v>
      </c>
      <c r="P409" s="23"/>
      <c r="Q409" s="23"/>
      <c r="R409" s="27"/>
      <c r="S409" s="27"/>
      <c r="T409" s="23">
        <v>10430428</v>
      </c>
      <c r="U409" s="28">
        <v>4120144109021</v>
      </c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 t="s">
        <v>40</v>
      </c>
      <c r="AN409" s="23" t="s">
        <v>58</v>
      </c>
      <c r="AO409" s="23" t="s">
        <v>58</v>
      </c>
      <c r="AP409" s="23"/>
      <c r="AQ409" s="23"/>
      <c r="AR409" s="23"/>
      <c r="AS409" s="23" t="str">
        <f t="shared" si="73"/>
        <v>Yes</v>
      </c>
      <c r="AT409" s="29" t="str">
        <f t="shared" si="74"/>
        <v>Yes</v>
      </c>
      <c r="AU409" s="30"/>
      <c r="AV409" s="31"/>
      <c r="AW409" s="31"/>
      <c r="AX409" s="2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</row>
    <row r="410" spans="1:74" x14ac:dyDescent="0.25">
      <c r="A410" s="25">
        <v>406</v>
      </c>
      <c r="B410" s="23" t="s">
        <v>1134</v>
      </c>
      <c r="C410" s="23" t="s">
        <v>1113</v>
      </c>
      <c r="D410" s="26" t="s">
        <v>1135</v>
      </c>
      <c r="E410" s="23">
        <v>4</v>
      </c>
      <c r="F410" s="23" t="s">
        <v>161</v>
      </c>
      <c r="G410" s="23">
        <f>VLOOKUP(C410,[2]Sheet2!$T$3:$V$92,3,FALSE)</f>
        <v>64</v>
      </c>
      <c r="H410" s="23" t="s">
        <v>68</v>
      </c>
      <c r="I410" s="23" t="s">
        <v>436</v>
      </c>
      <c r="J410" s="23">
        <v>3</v>
      </c>
      <c r="K410" s="6">
        <v>0.8</v>
      </c>
      <c r="L410" s="23" t="s">
        <v>574</v>
      </c>
      <c r="M410" s="63" t="s">
        <v>1059</v>
      </c>
      <c r="N410" s="63"/>
      <c r="O410" s="23" t="e">
        <f t="shared" si="72"/>
        <v>#VALUE!</v>
      </c>
      <c r="P410" s="63"/>
      <c r="Q410" s="63"/>
      <c r="R410" s="64">
        <v>39788</v>
      </c>
      <c r="S410" s="64">
        <v>39788</v>
      </c>
      <c r="T410" s="23">
        <v>10450003</v>
      </c>
      <c r="U410" s="28">
        <v>4120199703559</v>
      </c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 t="s">
        <v>73</v>
      </c>
      <c r="AN410" s="23"/>
      <c r="AO410" s="23"/>
      <c r="AP410" s="23"/>
      <c r="AQ410" s="23"/>
      <c r="AR410" s="23"/>
      <c r="AS410" s="23" t="str">
        <f t="shared" si="73"/>
        <v>No</v>
      </c>
      <c r="AT410" s="29" t="str">
        <f t="shared" si="74"/>
        <v>NA</v>
      </c>
      <c r="AU410" s="30"/>
      <c r="AV410" s="31"/>
      <c r="AW410" s="31"/>
      <c r="AX410" s="2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</row>
    <row r="411" spans="1:74" x14ac:dyDescent="0.25">
      <c r="A411" s="25">
        <v>407</v>
      </c>
      <c r="B411" s="23" t="s">
        <v>1136</v>
      </c>
      <c r="C411" s="23" t="s">
        <v>1113</v>
      </c>
      <c r="D411" s="26" t="s">
        <v>1137</v>
      </c>
      <c r="E411" s="23">
        <v>4</v>
      </c>
      <c r="F411" s="23" t="s">
        <v>161</v>
      </c>
      <c r="G411" s="23">
        <f>VLOOKUP(C411,[2]Sheet2!$T$3:$V$92,3,FALSE)</f>
        <v>64</v>
      </c>
      <c r="H411" s="23" t="s">
        <v>68</v>
      </c>
      <c r="I411" s="23" t="s">
        <v>436</v>
      </c>
      <c r="J411" s="23"/>
      <c r="K411" s="6">
        <v>0</v>
      </c>
      <c r="L411" s="23" t="s">
        <v>890</v>
      </c>
      <c r="M411" s="63" t="s">
        <v>1059</v>
      </c>
      <c r="N411" s="63"/>
      <c r="O411" s="23" t="e">
        <f t="shared" si="72"/>
        <v>#VALUE!</v>
      </c>
      <c r="P411" s="63"/>
      <c r="Q411" s="63"/>
      <c r="R411" s="64">
        <v>41456</v>
      </c>
      <c r="S411" s="64">
        <v>41456</v>
      </c>
      <c r="T411" s="23">
        <v>50188235</v>
      </c>
      <c r="U411" s="28">
        <v>4120113577617</v>
      </c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 t="s">
        <v>39</v>
      </c>
      <c r="AN411" s="32" t="s">
        <v>58</v>
      </c>
      <c r="AO411" s="23"/>
      <c r="AP411" s="23"/>
      <c r="AQ411" s="23"/>
      <c r="AR411" s="23"/>
      <c r="AS411" s="23" t="str">
        <f t="shared" si="73"/>
        <v>Yes</v>
      </c>
      <c r="AT411" s="29" t="str">
        <f t="shared" si="74"/>
        <v>Yes</v>
      </c>
      <c r="AU411" s="30"/>
      <c r="AV411" s="31"/>
      <c r="AW411" s="31"/>
      <c r="AX411" s="2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</row>
    <row r="412" spans="1:74" x14ac:dyDescent="0.25">
      <c r="A412" s="25">
        <v>408</v>
      </c>
      <c r="B412" s="23" t="s">
        <v>1138</v>
      </c>
      <c r="C412" s="23" t="s">
        <v>1113</v>
      </c>
      <c r="D412" s="26" t="s">
        <v>1139</v>
      </c>
      <c r="E412" s="23">
        <v>4</v>
      </c>
      <c r="F412" s="23" t="s">
        <v>71</v>
      </c>
      <c r="G412" s="23">
        <f>VLOOKUP(C412,[2]Sheet2!$T$3:$V$92,3,FALSE)</f>
        <v>64</v>
      </c>
      <c r="H412" s="23" t="s">
        <v>68</v>
      </c>
      <c r="I412" s="23" t="s">
        <v>436</v>
      </c>
      <c r="J412" s="23">
        <v>3</v>
      </c>
      <c r="K412" s="6">
        <v>0.6</v>
      </c>
      <c r="L412" s="23" t="s">
        <v>376</v>
      </c>
      <c r="M412" s="23"/>
      <c r="N412" s="23"/>
      <c r="O412" s="23" t="e">
        <f t="shared" si="72"/>
        <v>#VALUE!</v>
      </c>
      <c r="P412" s="23"/>
      <c r="Q412" s="23"/>
      <c r="R412" s="27"/>
      <c r="S412" s="27"/>
      <c r="T412" s="23">
        <v>50751356</v>
      </c>
      <c r="U412" s="28">
        <v>4530281279495</v>
      </c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 t="s">
        <v>41</v>
      </c>
      <c r="AN412" s="23" t="s">
        <v>58</v>
      </c>
      <c r="AO412" s="23" t="s">
        <v>58</v>
      </c>
      <c r="AP412" s="32" t="s">
        <v>58</v>
      </c>
      <c r="AQ412" s="23"/>
      <c r="AR412" s="23"/>
      <c r="AS412" s="23" t="str">
        <f t="shared" si="73"/>
        <v>Yes</v>
      </c>
      <c r="AT412" s="29" t="str">
        <f t="shared" si="74"/>
        <v>Yes</v>
      </c>
      <c r="AU412" s="30"/>
      <c r="AV412" s="31"/>
      <c r="AW412" s="31"/>
      <c r="AX412" s="2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</row>
    <row r="413" spans="1:74" x14ac:dyDescent="0.25">
      <c r="A413" s="25">
        <v>409</v>
      </c>
      <c r="B413" s="23" t="s">
        <v>1140</v>
      </c>
      <c r="C413" s="23" t="s">
        <v>1141</v>
      </c>
      <c r="D413" s="26" t="s">
        <v>1142</v>
      </c>
      <c r="E413" s="23">
        <v>18</v>
      </c>
      <c r="F413" s="23" t="s">
        <v>440</v>
      </c>
      <c r="G413" s="23">
        <f>VLOOKUP(C413,[2]Sheet2!$T$3:$V$92,3,FALSE)</f>
        <v>65</v>
      </c>
      <c r="H413" s="23" t="s">
        <v>54</v>
      </c>
      <c r="I413" s="23" t="s">
        <v>436</v>
      </c>
      <c r="J413" s="23"/>
      <c r="L413" s="23"/>
      <c r="M413" s="23"/>
      <c r="N413" s="23" t="s">
        <v>56</v>
      </c>
      <c r="O413" s="23" t="e">
        <f ca="1">IF(ISNUMBER(SEARCH("to", N413)),
_xlfn.LET(
    _xlpm.text_n3, N413,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413" s="23"/>
      <c r="Q413" s="23" t="s">
        <v>57</v>
      </c>
      <c r="R413" s="27"/>
      <c r="S413" s="27"/>
      <c r="T413" s="23">
        <v>10010995</v>
      </c>
      <c r="U413" s="28">
        <v>4130320039485</v>
      </c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 t="s">
        <v>42</v>
      </c>
      <c r="AN413" s="23" t="s">
        <v>58</v>
      </c>
      <c r="AO413" s="23" t="s">
        <v>58</v>
      </c>
      <c r="AP413" s="23" t="s">
        <v>58</v>
      </c>
      <c r="AQ413" s="23" t="s">
        <v>58</v>
      </c>
      <c r="AR413" s="23"/>
      <c r="AS413" s="23" t="str">
        <f>IF(AND(AN413="Yes", AO413="Yes", AP413="Yes"), "Yes", IF(AND(AN413="", AO413="", AP413=""), "No", "Incomplete"))</f>
        <v>Yes</v>
      </c>
      <c r="AT413" s="29" t="str">
        <f t="shared" si="74"/>
        <v>Yes</v>
      </c>
      <c r="AU413" s="30"/>
      <c r="AV413" s="31"/>
      <c r="AW413" s="31" t="s">
        <v>59</v>
      </c>
      <c r="AX413" s="2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</row>
    <row r="414" spans="1:74" x14ac:dyDescent="0.25">
      <c r="A414" s="25">
        <v>410</v>
      </c>
      <c r="B414" s="23" t="s">
        <v>1143</v>
      </c>
      <c r="C414" s="23" t="s">
        <v>1141</v>
      </c>
      <c r="D414" s="26" t="s">
        <v>221</v>
      </c>
      <c r="E414" s="23">
        <v>17</v>
      </c>
      <c r="F414" s="23" t="s">
        <v>586</v>
      </c>
      <c r="G414" s="23">
        <f>VLOOKUP(C414,[2]Sheet2!$T$3:$V$92,3,FALSE)</f>
        <v>65</v>
      </c>
      <c r="H414" s="23" t="s">
        <v>54</v>
      </c>
      <c r="I414" s="23" t="s">
        <v>436</v>
      </c>
      <c r="J414" s="23"/>
      <c r="L414" s="23"/>
      <c r="M414" s="23"/>
      <c r="N414" s="23" t="s">
        <v>56</v>
      </c>
      <c r="O414" s="23" t="e">
        <f ca="1">IF(ISNUMBER(SEARCH("to", N414)),
_xlfn.LET(
    _xlpm.text_n3, N414,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414" s="23"/>
      <c r="Q414" s="23" t="s">
        <v>57</v>
      </c>
      <c r="R414" s="27"/>
      <c r="S414" s="27"/>
      <c r="T414" s="23">
        <v>10444462</v>
      </c>
      <c r="U414" s="28">
        <v>4130347580805</v>
      </c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 t="s">
        <v>42</v>
      </c>
      <c r="AN414" s="23" t="s">
        <v>58</v>
      </c>
      <c r="AO414" s="23" t="s">
        <v>58</v>
      </c>
      <c r="AP414" s="23"/>
      <c r="AQ414" s="23" t="s">
        <v>58</v>
      </c>
      <c r="AR414" s="23"/>
      <c r="AS414" s="23" t="str">
        <f>IF(AND(AN414="Yes", AO414="Yes", AP414="Yes"), "Yes", IF(AND(AN414="", AO414="", AP414=""), "No", "Incomplete"))</f>
        <v>Incomplete</v>
      </c>
      <c r="AT414" s="29" t="str">
        <f t="shared" si="74"/>
        <v>Yes</v>
      </c>
      <c r="AU414" s="30"/>
      <c r="AV414" s="31"/>
      <c r="AW414" s="31" t="s">
        <v>59</v>
      </c>
      <c r="AX414" s="2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</row>
    <row r="415" spans="1:74" x14ac:dyDescent="0.25">
      <c r="A415" s="25">
        <v>411</v>
      </c>
      <c r="B415" s="23" t="s">
        <v>1144</v>
      </c>
      <c r="C415" s="23" t="s">
        <v>1141</v>
      </c>
      <c r="D415" s="4" t="s">
        <v>66</v>
      </c>
      <c r="E415" s="1">
        <v>15</v>
      </c>
      <c r="F415" s="1" t="s">
        <v>67</v>
      </c>
      <c r="G415" s="23">
        <f>VLOOKUP(C415,[2]Sheet2!$T$3:$V$92,3,FALSE)</f>
        <v>65</v>
      </c>
      <c r="H415" s="23" t="s">
        <v>68</v>
      </c>
      <c r="I415" s="23" t="s">
        <v>436</v>
      </c>
      <c r="J415" s="2"/>
      <c r="K415" s="6">
        <v>0</v>
      </c>
      <c r="L415" s="2"/>
      <c r="M415" s="1"/>
      <c r="N415" s="1"/>
      <c r="O415" s="23" t="e">
        <f t="shared" ref="O415:O425" si="75">IF(DATEVALUE(MID(N415,15,10))-DATEVALUE(LEFT(N415,10))+1&gt;=365,"1 Year",
DATEDIF(DATEVALUE(LEFT(N415,10)),DATEVALUE(MID(N415,15,10)),"Y")&amp;" Years, "&amp;DATEDIF(DATEVALUE(LEFT(N415,10)),DATEVALUE(MID(N415,15,10)),"YM")&amp;" Months, "&amp;DATEDIF(DATEVALUE(LEFT(N415,10)),DATEVALUE(MID(N415,15,10)),"MD")&amp;" Days")</f>
        <v>#VALUE!</v>
      </c>
      <c r="P415" s="1"/>
      <c r="Q415" s="1"/>
      <c r="S415" s="49"/>
      <c r="T415" s="1"/>
      <c r="U415" s="58"/>
      <c r="V415" s="4"/>
      <c r="W415" s="59"/>
      <c r="X415"/>
      <c r="Y415"/>
      <c r="Z415" s="58"/>
      <c r="AA415"/>
      <c r="AC415" s="60"/>
      <c r="AG415"/>
      <c r="AI415" s="58"/>
      <c r="AK415" s="58"/>
      <c r="AL415"/>
      <c r="AM415"/>
      <c r="AO415" s="60"/>
      <c r="AQ415" s="60"/>
      <c r="AS415"/>
      <c r="AU415" s="49"/>
      <c r="AV415" s="49"/>
      <c r="AW415" s="49"/>
      <c r="AX415" s="49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</row>
    <row r="416" spans="1:74" ht="28.5" x14ac:dyDescent="0.25">
      <c r="A416" s="25">
        <v>412</v>
      </c>
      <c r="B416" s="23" t="s">
        <v>1145</v>
      </c>
      <c r="C416" s="23" t="s">
        <v>1141</v>
      </c>
      <c r="D416" s="26" t="s">
        <v>1146</v>
      </c>
      <c r="E416" s="23">
        <v>15</v>
      </c>
      <c r="F416" s="23" t="s">
        <v>108</v>
      </c>
      <c r="G416" s="23">
        <f>VLOOKUP(C416,[2]Sheet2!$T$3:$V$92,3,FALSE)</f>
        <v>65</v>
      </c>
      <c r="H416" s="23" t="s">
        <v>68</v>
      </c>
      <c r="I416" s="23" t="s">
        <v>436</v>
      </c>
      <c r="J416" s="23"/>
      <c r="K416" s="6">
        <v>0</v>
      </c>
      <c r="L416" s="23" t="s">
        <v>890</v>
      </c>
      <c r="M416" s="23"/>
      <c r="N416" s="23" t="s">
        <v>95</v>
      </c>
      <c r="O416" s="23" t="str">
        <f t="shared" si="75"/>
        <v>1 Year</v>
      </c>
      <c r="P416" s="23" t="s">
        <v>96</v>
      </c>
      <c r="Q416" s="23" t="s">
        <v>646</v>
      </c>
      <c r="R416" s="27"/>
      <c r="S416" s="27"/>
      <c r="T416" s="23">
        <v>50187553</v>
      </c>
      <c r="U416" s="28">
        <v>4150404237821</v>
      </c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 t="s">
        <v>42</v>
      </c>
      <c r="AN416" s="32" t="s">
        <v>58</v>
      </c>
      <c r="AO416" s="32" t="s">
        <v>58</v>
      </c>
      <c r="AP416" s="32" t="s">
        <v>58</v>
      </c>
      <c r="AQ416" s="32" t="s">
        <v>58</v>
      </c>
      <c r="AR416" s="23"/>
      <c r="AS416" s="23" t="str">
        <f>IF(AND(AN416="Yes", AO416="Yes", AP416="Yes"), "Yes", IF(AND(AN416="", AO416="", AP416=""), "No", "Incomplete"))</f>
        <v>Yes</v>
      </c>
      <c r="AT416" s="29" t="str">
        <f>IF(AM416="Matric",IF(AN416="Yes","Yes",IF(AN416="Under Process", "Under Process","No")),IF(AM416="Inter",IF(AO416="Yes","Yes",IF(AO416="Under Process", "Under Process","No")),IF(AM416="Bachelor",IF(AP416="Yes","Yes",IF(AP416="Under Process", "Under Process","No")),IF(AM416="Master",IF(AQ416="Yes","Yes",IF(AQ416="Under Process", "Under Process","No")),IF(AM416="Vacant",IF(D424="Yes","No","Vacant"),IF(AM416="NA",IF(D424="Yes","No","NA"),"No"))))))</f>
        <v>Yes</v>
      </c>
      <c r="AU416" s="30"/>
      <c r="AV416" s="31"/>
      <c r="AW416" s="31" t="s">
        <v>59</v>
      </c>
      <c r="AX416" s="2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</row>
    <row r="417" spans="1:74" ht="28.5" x14ac:dyDescent="0.25">
      <c r="A417" s="25">
        <v>413</v>
      </c>
      <c r="B417" s="23" t="s">
        <v>1147</v>
      </c>
      <c r="C417" s="23" t="s">
        <v>1141</v>
      </c>
      <c r="D417" s="26" t="s">
        <v>1148</v>
      </c>
      <c r="E417" s="23">
        <v>15</v>
      </c>
      <c r="F417" s="23" t="s">
        <v>108</v>
      </c>
      <c r="G417" s="23">
        <f>VLOOKUP(C417,[2]Sheet2!$T$3:$V$92,3,FALSE)</f>
        <v>65</v>
      </c>
      <c r="H417" s="23" t="s">
        <v>68</v>
      </c>
      <c r="I417" s="23" t="s">
        <v>436</v>
      </c>
      <c r="J417" s="23"/>
      <c r="K417" s="6">
        <v>0</v>
      </c>
      <c r="L417" s="23" t="s">
        <v>890</v>
      </c>
      <c r="M417" s="23"/>
      <c r="N417" s="23" t="s">
        <v>95</v>
      </c>
      <c r="O417" s="23" t="str">
        <f t="shared" si="75"/>
        <v>1 Year</v>
      </c>
      <c r="P417" s="23" t="s">
        <v>96</v>
      </c>
      <c r="Q417" s="23" t="s">
        <v>646</v>
      </c>
      <c r="R417" s="27"/>
      <c r="S417" s="27"/>
      <c r="T417" s="23">
        <v>50185055</v>
      </c>
      <c r="U417" s="28">
        <v>4120458610395</v>
      </c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 t="s">
        <v>41</v>
      </c>
      <c r="AN417" s="32" t="s">
        <v>58</v>
      </c>
      <c r="AO417" s="32" t="s">
        <v>58</v>
      </c>
      <c r="AP417" s="61" t="s">
        <v>58</v>
      </c>
      <c r="AQ417" s="23"/>
      <c r="AR417" s="23" t="s">
        <v>612</v>
      </c>
      <c r="AS417" s="23" t="str">
        <f>IF(AND(AN417="Yes", AO417="Yes", AP417="Yes"), "Yes", IF(AND(AN417="", AO417="", AP417=""), "No", "Incomplete"))</f>
        <v>Yes</v>
      </c>
      <c r="AT417" s="29" t="str">
        <f>IF(AM417="Matric",IF(AN417="Yes","Yes",IF(AN417="Under Process", "Under Process","No")),IF(AM417="Inter",IF(AO417="Yes","Yes",IF(AO417="Under Process", "Under Process","No")),IF(AM417="Bachelor",IF(AP417="Yes","Yes",IF(AP417="Under Process", "Under Process","No")),IF(AM417="Master",IF(AQ417="Yes","Yes",IF(AQ417="Under Process", "Under Process","No")),IF(AM417="Vacant",IF(D425="Yes","No","Vacant"),IF(AM417="NA",IF(D425="Yes","No","NA"),"No"))))))</f>
        <v>Yes</v>
      </c>
      <c r="AU417" s="30"/>
      <c r="AV417" s="31"/>
      <c r="AW417" s="31" t="s">
        <v>59</v>
      </c>
      <c r="AX417" s="2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</row>
    <row r="418" spans="1:74" x14ac:dyDescent="0.25">
      <c r="A418" s="25">
        <v>414</v>
      </c>
      <c r="B418" s="23" t="s">
        <v>1149</v>
      </c>
      <c r="C418" s="23" t="s">
        <v>1141</v>
      </c>
      <c r="D418" s="26" t="s">
        <v>1150</v>
      </c>
      <c r="E418" s="23">
        <v>13</v>
      </c>
      <c r="F418" s="23" t="s">
        <v>131</v>
      </c>
      <c r="G418" s="23">
        <f>VLOOKUP(C418,[2]Sheet2!$T$3:$V$92,3,FALSE)</f>
        <v>65</v>
      </c>
      <c r="H418" s="23" t="s">
        <v>68</v>
      </c>
      <c r="I418" s="23" t="s">
        <v>436</v>
      </c>
      <c r="J418" s="23"/>
      <c r="K418" s="6">
        <v>0</v>
      </c>
      <c r="L418" s="23" t="s">
        <v>890</v>
      </c>
      <c r="M418" s="23"/>
      <c r="N418" s="23"/>
      <c r="O418" s="23" t="e">
        <f t="shared" si="75"/>
        <v>#VALUE!</v>
      </c>
      <c r="P418" s="23"/>
      <c r="Q418" s="23"/>
      <c r="R418" s="27"/>
      <c r="S418" s="27"/>
      <c r="T418" s="23">
        <v>50699256</v>
      </c>
      <c r="U418" s="28">
        <v>4320763669710</v>
      </c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 t="s">
        <v>42</v>
      </c>
      <c r="AN418" s="23" t="s">
        <v>58</v>
      </c>
      <c r="AO418" s="23" t="s">
        <v>58</v>
      </c>
      <c r="AP418" s="23"/>
      <c r="AQ418" s="32" t="s">
        <v>58</v>
      </c>
      <c r="AR418" s="23"/>
      <c r="AS418" s="23" t="str">
        <f>IF(AND(AN418="Yes", AO418="Yes"), "Yes", IF(AND(AN418="", AO418=""), "No", "Incomplete"))</f>
        <v>Yes</v>
      </c>
      <c r="AT418" s="29" t="str">
        <f>IF(AM418="Matric",IF(AN418="Yes","Yes",IF(AN418="Under Process", "Under Process","No")),IF(AM418="Inter",IF(AO418="Yes","Yes",IF(AO418="Under Process", "Under Process","No")),IF(AM418="Bachelor",IF(AP418="Yes","Yes",IF(AP418="Under Process", "Under Process","No")),IF(AM418="Master",IF(AQ418="Yes","Yes",IF(AQ418="Under Process", "Under Process","No")),IF(AM418="Vacant",IF(D426="Yes","No","Vacant"),IF(AM418="NA",IF(D426="Yes","No","NA"),"No"))))))</f>
        <v>Yes</v>
      </c>
      <c r="AU418" s="30"/>
      <c r="AV418" s="31" t="s">
        <v>64</v>
      </c>
      <c r="AW418" s="31" t="s">
        <v>59</v>
      </c>
      <c r="AX418" s="2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</row>
    <row r="419" spans="1:74" x14ac:dyDescent="0.25">
      <c r="A419" s="25">
        <v>416</v>
      </c>
      <c r="B419" s="23" t="s">
        <v>1151</v>
      </c>
      <c r="C419" s="23" t="s">
        <v>1141</v>
      </c>
      <c r="D419" s="26" t="s">
        <v>1152</v>
      </c>
      <c r="E419" s="23">
        <v>11</v>
      </c>
      <c r="F419" s="23" t="s">
        <v>138</v>
      </c>
      <c r="G419" s="23">
        <f>VLOOKUP(C419,[2]Sheet2!$T$3:$V$92,3,FALSE)</f>
        <v>65</v>
      </c>
      <c r="H419" s="23" t="s">
        <v>68</v>
      </c>
      <c r="I419" s="23" t="s">
        <v>436</v>
      </c>
      <c r="J419" s="23"/>
      <c r="K419" s="6">
        <v>0</v>
      </c>
      <c r="L419" s="23" t="s">
        <v>890</v>
      </c>
      <c r="M419" s="23"/>
      <c r="N419" s="23"/>
      <c r="O419" s="23" t="e">
        <f t="shared" si="75"/>
        <v>#VALUE!</v>
      </c>
      <c r="P419" s="23"/>
      <c r="Q419" s="23"/>
      <c r="R419" s="27"/>
      <c r="S419" s="27"/>
      <c r="T419" s="23">
        <v>50698736</v>
      </c>
      <c r="U419" s="28">
        <v>4130242440880</v>
      </c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 t="s">
        <v>41</v>
      </c>
      <c r="AN419" s="32" t="s">
        <v>58</v>
      </c>
      <c r="AO419" s="32" t="s">
        <v>58</v>
      </c>
      <c r="AP419" s="70" t="s">
        <v>58</v>
      </c>
      <c r="AQ419" s="23"/>
      <c r="AR419" s="23"/>
      <c r="AS419" s="23" t="str">
        <f t="shared" ref="AS419:AS425" si="76">IF(AND(AN419="Yes"), "Yes", IF(AND(AN419=""), "No", "Incomplete"))</f>
        <v>Yes</v>
      </c>
      <c r="AT419" s="29" t="str">
        <f>IF(AM419="Matric",IF(AN419="Yes","Yes",IF(AN419="Under Process", "Under Process","No")),IF(AM419="Inter",IF(AO419="Yes","Yes",IF(AO419="Under Process", "Under Process","No")),IF(AM419="Bachelor",IF(AP419="Yes","Yes",IF(AP419="Under Process", "Under Process","No")),IF(AM419="Master",IF(AQ419="Yes","Yes",IF(AQ419="Under Process", "Under Process","No")),IF(AM419="Vacant",IF(D427="Yes","No","Vacant"),IF(AM419="NA",IF(D427="Yes","No","NA"),"No"))))))</f>
        <v>Yes</v>
      </c>
      <c r="AU419" s="30"/>
      <c r="AV419" s="31"/>
      <c r="AW419" s="31" t="s">
        <v>59</v>
      </c>
      <c r="AX419" s="2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</row>
    <row r="420" spans="1:74" x14ac:dyDescent="0.25">
      <c r="A420" s="25">
        <v>428</v>
      </c>
      <c r="B420" s="23" t="s">
        <v>1153</v>
      </c>
      <c r="C420" s="23" t="s">
        <v>1141</v>
      </c>
      <c r="D420" s="26" t="s">
        <v>1154</v>
      </c>
      <c r="E420" s="23">
        <v>11</v>
      </c>
      <c r="F420" s="23" t="s">
        <v>138</v>
      </c>
      <c r="G420" s="23">
        <f>VLOOKUP(C420,[2]Sheet2!$T$3:$V$92,3,FALSE)</f>
        <v>65</v>
      </c>
      <c r="H420" s="23" t="s">
        <v>68</v>
      </c>
      <c r="I420" s="23" t="s">
        <v>436</v>
      </c>
      <c r="J420" s="23"/>
      <c r="K420" s="6">
        <v>0</v>
      </c>
      <c r="L420" s="23" t="s">
        <v>890</v>
      </c>
      <c r="M420" s="23"/>
      <c r="N420" s="23"/>
      <c r="O420" s="23" t="e">
        <f t="shared" si="75"/>
        <v>#VALUE!</v>
      </c>
      <c r="P420" s="23"/>
      <c r="Q420" s="23"/>
      <c r="R420" s="27"/>
      <c r="S420" s="27"/>
      <c r="T420" s="23">
        <v>10630818</v>
      </c>
      <c r="U420" s="28">
        <v>4130337581935</v>
      </c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 t="s">
        <v>41</v>
      </c>
      <c r="AN420" s="39" t="s">
        <v>58</v>
      </c>
      <c r="AO420" s="39" t="s">
        <v>58</v>
      </c>
      <c r="AP420" s="32" t="s">
        <v>58</v>
      </c>
      <c r="AQ420" s="23"/>
      <c r="AR420" s="23"/>
      <c r="AS420" s="23" t="str">
        <f t="shared" si="76"/>
        <v>Yes</v>
      </c>
      <c r="AT420" s="29" t="str">
        <f>IF(AM420="Matric",IF(AN420="Yes","Yes",IF(AN420="Under Process", "Under Process","No")),IF(AM420="Inter",IF(AO420="Yes","Yes",IF(AO420="Under Process", "Under Process","No")),IF(AM420="Bachelor",IF(AP420="Yes","Yes",IF(AP420="Under Process", "Under Process","No")),IF(AM420="Master",IF(AQ420="Yes","Yes",IF(AQ420="Under Process", "Under Process","No")),IF(AM420="Vacant",IF(#REF!="Yes","No","Vacant"),IF(AM420="NA",IF(#REF!="Yes","No","NA"),"No"))))))</f>
        <v>Yes</v>
      </c>
      <c r="AU420" s="30"/>
      <c r="AV420" s="31"/>
      <c r="AW420" s="31" t="s">
        <v>59</v>
      </c>
      <c r="AX420" s="2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</row>
    <row r="421" spans="1:74" x14ac:dyDescent="0.25">
      <c r="A421" s="25">
        <v>417</v>
      </c>
      <c r="B421" s="23" t="s">
        <v>1155</v>
      </c>
      <c r="C421" s="23" t="s">
        <v>1141</v>
      </c>
      <c r="D421" s="26" t="s">
        <v>1156</v>
      </c>
      <c r="E421" s="23">
        <v>7</v>
      </c>
      <c r="F421" s="23" t="s">
        <v>264</v>
      </c>
      <c r="G421" s="23">
        <f>VLOOKUP(C421,[2]Sheet2!$T$3:$V$92,3,FALSE)</f>
        <v>65</v>
      </c>
      <c r="H421" s="23" t="s">
        <v>68</v>
      </c>
      <c r="I421" s="23" t="s">
        <v>436</v>
      </c>
      <c r="J421" s="23">
        <v>3</v>
      </c>
      <c r="K421" s="6">
        <v>0.8</v>
      </c>
      <c r="L421" s="23" t="s">
        <v>574</v>
      </c>
      <c r="M421" s="23"/>
      <c r="N421" s="23"/>
      <c r="O421" s="23" t="e">
        <f t="shared" si="75"/>
        <v>#VALUE!</v>
      </c>
      <c r="P421" s="23"/>
      <c r="Q421" s="23"/>
      <c r="R421" s="27"/>
      <c r="S421" s="27"/>
      <c r="T421" s="23">
        <v>10449177</v>
      </c>
      <c r="U421" s="28">
        <v>4130367658143</v>
      </c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 t="s">
        <v>73</v>
      </c>
      <c r="AN421" s="23"/>
      <c r="AO421" s="23"/>
      <c r="AP421" s="23"/>
      <c r="AQ421" s="23"/>
      <c r="AR421" s="23"/>
      <c r="AS421" s="23" t="str">
        <f t="shared" si="76"/>
        <v>No</v>
      </c>
      <c r="AT421" s="29" t="str">
        <f t="shared" ref="AT421:AT426" si="77">IF(AM421="Matric",IF(AN421="Yes","Yes",IF(AN421="Under Process", "Under Process","No")),IF(AM421="Inter",IF(AO421="Yes","Yes",IF(AO421="Under Process", "Under Process","No")),IF(AM421="Bachelor",IF(AP421="Yes","Yes",IF(AP421="Under Process", "Under Process","No")),IF(AM421="Master",IF(AQ421="Yes","Yes",IF(AQ421="Under Process", "Under Process","No")),IF(AM421="Vacant",IF(D429="Yes","No","Vacant"),IF(AM421="NA",IF(D429="Yes","No","NA"),"No"))))))</f>
        <v>NA</v>
      </c>
      <c r="AU421" s="30"/>
      <c r="AV421" s="31" t="s">
        <v>64</v>
      </c>
      <c r="AW421" s="31" t="s">
        <v>59</v>
      </c>
      <c r="AX421" s="2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</row>
    <row r="422" spans="1:74" x14ac:dyDescent="0.25">
      <c r="A422" s="25">
        <v>418</v>
      </c>
      <c r="B422" s="23" t="s">
        <v>1157</v>
      </c>
      <c r="C422" s="23" t="s">
        <v>1141</v>
      </c>
      <c r="D422" s="26" t="s">
        <v>370</v>
      </c>
      <c r="E422" s="23">
        <v>5</v>
      </c>
      <c r="F422" s="23" t="s">
        <v>161</v>
      </c>
      <c r="G422" s="23">
        <f>VLOOKUP(C422,[2]Sheet2!$T$3:$V$92,3,FALSE)</f>
        <v>65</v>
      </c>
      <c r="H422" s="23" t="s">
        <v>68</v>
      </c>
      <c r="I422" s="23" t="s">
        <v>436</v>
      </c>
      <c r="J422" s="23">
        <v>3</v>
      </c>
      <c r="K422" s="6">
        <v>0.7</v>
      </c>
      <c r="L422" s="23" t="s">
        <v>427</v>
      </c>
      <c r="M422" s="43" t="s">
        <v>1158</v>
      </c>
      <c r="N422" s="43"/>
      <c r="O422" s="23" t="e">
        <f t="shared" si="75"/>
        <v>#VALUE!</v>
      </c>
      <c r="P422" s="43"/>
      <c r="Q422" s="43"/>
      <c r="R422" s="44">
        <v>41456</v>
      </c>
      <c r="S422" s="44">
        <v>45764</v>
      </c>
      <c r="T422" s="23">
        <v>50184372</v>
      </c>
      <c r="U422" s="28">
        <v>4130784073489</v>
      </c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 t="s">
        <v>73</v>
      </c>
      <c r="AN422" s="23"/>
      <c r="AO422" s="23"/>
      <c r="AP422" s="23"/>
      <c r="AQ422" s="23"/>
      <c r="AR422" s="23"/>
      <c r="AS422" s="23" t="str">
        <f t="shared" si="76"/>
        <v>No</v>
      </c>
      <c r="AT422" s="29" t="str">
        <f t="shared" si="77"/>
        <v>NA</v>
      </c>
      <c r="AU422" s="30"/>
      <c r="AV422" s="31"/>
      <c r="AW422" s="31" t="s">
        <v>59</v>
      </c>
      <c r="AX422" s="2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</row>
    <row r="423" spans="1:74" x14ac:dyDescent="0.25">
      <c r="A423" s="25">
        <v>419</v>
      </c>
      <c r="B423" s="23" t="s">
        <v>1159</v>
      </c>
      <c r="C423" s="23" t="s">
        <v>1141</v>
      </c>
      <c r="D423" s="26" t="s">
        <v>1160</v>
      </c>
      <c r="E423" s="23">
        <v>5</v>
      </c>
      <c r="F423" s="23" t="s">
        <v>71</v>
      </c>
      <c r="G423" s="23">
        <f>VLOOKUP(C423,[2]Sheet2!$T$3:$V$92,3,FALSE)</f>
        <v>65</v>
      </c>
      <c r="H423" s="23" t="s">
        <v>68</v>
      </c>
      <c r="I423" s="23" t="s">
        <v>436</v>
      </c>
      <c r="J423" s="23"/>
      <c r="K423" s="6">
        <v>0</v>
      </c>
      <c r="L423" s="23" t="s">
        <v>890</v>
      </c>
      <c r="M423" s="23"/>
      <c r="N423" s="23"/>
      <c r="O423" s="23" t="e">
        <f t="shared" si="75"/>
        <v>#VALUE!</v>
      </c>
      <c r="P423" s="23"/>
      <c r="Q423" s="23"/>
      <c r="R423" s="27"/>
      <c r="S423" s="27"/>
      <c r="T423" s="23">
        <v>10460401</v>
      </c>
      <c r="U423" s="28">
        <v>4130379576703</v>
      </c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 t="s">
        <v>39</v>
      </c>
      <c r="AN423" s="32" t="s">
        <v>58</v>
      </c>
      <c r="AO423" s="23"/>
      <c r="AP423" s="23"/>
      <c r="AQ423" s="23"/>
      <c r="AR423" s="23"/>
      <c r="AS423" s="23" t="str">
        <f t="shared" si="76"/>
        <v>Yes</v>
      </c>
      <c r="AT423" s="29" t="str">
        <f t="shared" si="77"/>
        <v>Yes</v>
      </c>
      <c r="AU423" s="30"/>
      <c r="AV423" s="31"/>
      <c r="AW423" s="31" t="s">
        <v>59</v>
      </c>
      <c r="AX423" s="2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</row>
    <row r="424" spans="1:74" x14ac:dyDescent="0.25">
      <c r="A424" s="25">
        <v>420</v>
      </c>
      <c r="B424" s="23" t="s">
        <v>1161</v>
      </c>
      <c r="C424" s="23" t="s">
        <v>1141</v>
      </c>
      <c r="D424" s="26" t="s">
        <v>1162</v>
      </c>
      <c r="E424" s="23">
        <v>4</v>
      </c>
      <c r="F424" s="23" t="s">
        <v>161</v>
      </c>
      <c r="G424" s="23">
        <f>VLOOKUP(C424,[2]Sheet2!$T$3:$V$92,3,FALSE)</f>
        <v>65</v>
      </c>
      <c r="H424" s="23" t="s">
        <v>68</v>
      </c>
      <c r="I424" s="23" t="s">
        <v>436</v>
      </c>
      <c r="J424" s="23"/>
      <c r="K424" s="6">
        <v>0</v>
      </c>
      <c r="L424" s="23" t="s">
        <v>890</v>
      </c>
      <c r="M424" s="63" t="s">
        <v>258</v>
      </c>
      <c r="N424" s="63"/>
      <c r="O424" s="23" t="e">
        <f t="shared" si="75"/>
        <v>#VALUE!</v>
      </c>
      <c r="P424" s="63"/>
      <c r="Q424" s="63"/>
      <c r="R424" s="64">
        <v>40004</v>
      </c>
      <c r="S424" s="64">
        <v>40004</v>
      </c>
      <c r="T424" s="23">
        <v>10477464</v>
      </c>
      <c r="U424" s="28">
        <v>4130392569847</v>
      </c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 t="s">
        <v>73</v>
      </c>
      <c r="AN424" s="23"/>
      <c r="AO424" s="23"/>
      <c r="AP424" s="23"/>
      <c r="AQ424" s="23"/>
      <c r="AR424" s="23"/>
      <c r="AS424" s="23" t="str">
        <f t="shared" si="76"/>
        <v>No</v>
      </c>
      <c r="AT424" s="29" t="str">
        <f t="shared" si="77"/>
        <v>NA</v>
      </c>
      <c r="AU424" s="30"/>
      <c r="AV424" s="31"/>
      <c r="AW424" s="31" t="s">
        <v>59</v>
      </c>
      <c r="AX424" s="2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</row>
    <row r="425" spans="1:74" x14ac:dyDescent="0.25">
      <c r="A425" s="25">
        <v>421</v>
      </c>
      <c r="B425" s="23" t="s">
        <v>1163</v>
      </c>
      <c r="C425" s="23" t="s">
        <v>1141</v>
      </c>
      <c r="D425" s="26" t="s">
        <v>1164</v>
      </c>
      <c r="E425" s="23">
        <v>4</v>
      </c>
      <c r="F425" s="23" t="s">
        <v>71</v>
      </c>
      <c r="G425" s="23">
        <f>VLOOKUP(C425,[2]Sheet2!$T$3:$V$92,3,FALSE)</f>
        <v>65</v>
      </c>
      <c r="H425" s="23" t="s">
        <v>68</v>
      </c>
      <c r="I425" s="23" t="s">
        <v>436</v>
      </c>
      <c r="J425" s="23">
        <v>3</v>
      </c>
      <c r="K425" s="6">
        <v>0.7</v>
      </c>
      <c r="L425" s="23" t="s">
        <v>427</v>
      </c>
      <c r="M425" s="23"/>
      <c r="N425" s="23"/>
      <c r="O425" s="23" t="e">
        <f t="shared" si="75"/>
        <v>#VALUE!</v>
      </c>
      <c r="P425" s="23"/>
      <c r="Q425" s="23"/>
      <c r="R425" s="27"/>
      <c r="S425" s="27"/>
      <c r="T425" s="23">
        <v>50674020</v>
      </c>
      <c r="U425" s="28">
        <v>4130233035525</v>
      </c>
      <c r="V425" s="23"/>
      <c r="W425" s="23" t="s">
        <v>212</v>
      </c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 t="s">
        <v>40</v>
      </c>
      <c r="AN425" s="32" t="s">
        <v>58</v>
      </c>
      <c r="AO425" s="39" t="s">
        <v>58</v>
      </c>
      <c r="AP425" s="23"/>
      <c r="AQ425" s="23"/>
      <c r="AR425" s="23"/>
      <c r="AS425" s="23" t="str">
        <f t="shared" si="76"/>
        <v>Yes</v>
      </c>
      <c r="AT425" s="29" t="str">
        <f t="shared" si="77"/>
        <v>Yes</v>
      </c>
      <c r="AU425" s="30"/>
      <c r="AV425" s="31"/>
      <c r="AW425" s="31" t="s">
        <v>59</v>
      </c>
      <c r="AX425" s="2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</row>
    <row r="426" spans="1:74" x14ac:dyDescent="0.25">
      <c r="A426" s="25">
        <v>422</v>
      </c>
      <c r="B426" s="23" t="s">
        <v>1165</v>
      </c>
      <c r="C426" s="23" t="s">
        <v>1166</v>
      </c>
      <c r="D426" s="26" t="s">
        <v>1167</v>
      </c>
      <c r="E426" s="23">
        <v>18</v>
      </c>
      <c r="F426" s="23" t="s">
        <v>440</v>
      </c>
      <c r="G426" s="23">
        <f>VLOOKUP(C426,[2]Sheet2!$T$3:$V$92,3,FALSE)</f>
        <v>66</v>
      </c>
      <c r="H426" s="23" t="s">
        <v>54</v>
      </c>
      <c r="I426" s="23" t="s">
        <v>436</v>
      </c>
      <c r="J426" s="23"/>
      <c r="L426" s="23"/>
      <c r="M426" s="23"/>
      <c r="N426" s="23" t="s">
        <v>56</v>
      </c>
      <c r="O426" s="23" t="e">
        <f ca="1">IF(ISNUMBER(SEARCH("to", N426)),
_xlfn.LET(
    _xlpm.text_n3, N426,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426" s="23"/>
      <c r="Q426" s="23" t="s">
        <v>57</v>
      </c>
      <c r="R426" s="27"/>
      <c r="S426" s="27"/>
      <c r="T426" s="23">
        <v>10041424</v>
      </c>
      <c r="U426" s="28">
        <v>4130423170445</v>
      </c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 t="s">
        <v>41</v>
      </c>
      <c r="AN426" s="32" t="s">
        <v>58</v>
      </c>
      <c r="AO426" s="39" t="s">
        <v>58</v>
      </c>
      <c r="AP426" s="32" t="s">
        <v>58</v>
      </c>
      <c r="AQ426" s="23"/>
      <c r="AR426" s="23"/>
      <c r="AS426" s="23" t="str">
        <f>IF(AND(AN426="Yes", AO426="Yes", AP426="Yes"), "Yes", IF(AND(AN426="", AO426="", AP426=""), "No", "Incomplete"))</f>
        <v>Yes</v>
      </c>
      <c r="AT426" s="29" t="str">
        <f t="shared" si="77"/>
        <v>Yes</v>
      </c>
      <c r="AU426" s="30"/>
      <c r="AV426" s="31"/>
      <c r="AW426" s="31" t="s">
        <v>59</v>
      </c>
      <c r="AX426" s="2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</row>
    <row r="427" spans="1:74" ht="28.5" x14ac:dyDescent="0.25">
      <c r="A427" s="25">
        <v>423</v>
      </c>
      <c r="B427" s="23" t="s">
        <v>1168</v>
      </c>
      <c r="C427" s="23" t="s">
        <v>1166</v>
      </c>
      <c r="D427" s="45" t="s">
        <v>1169</v>
      </c>
      <c r="E427" s="23">
        <v>17</v>
      </c>
      <c r="F427" s="23" t="s">
        <v>586</v>
      </c>
      <c r="G427" s="23">
        <f>VLOOKUP(C427,[2]Sheet2!$T$3:$V$92,3,FALSE)</f>
        <v>66</v>
      </c>
      <c r="H427" s="23" t="s">
        <v>54</v>
      </c>
      <c r="I427" s="23" t="s">
        <v>436</v>
      </c>
      <c r="J427" s="23"/>
      <c r="L427" s="23" t="s">
        <v>890</v>
      </c>
      <c r="M427" s="23"/>
      <c r="N427" s="23" t="s">
        <v>1170</v>
      </c>
      <c r="O427" s="23" t="e">
        <f ca="1">IF(ISNUMBER(SEARCH("to", N427)),
_xlfn.LET(
    _xlpm.text_n3, N427,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427" s="23"/>
      <c r="Q427" s="23" t="s">
        <v>57</v>
      </c>
      <c r="R427" s="27"/>
      <c r="S427" s="27">
        <v>44607</v>
      </c>
      <c r="T427" s="23">
        <v>50170331</v>
      </c>
      <c r="U427" s="28">
        <v>4130356890182</v>
      </c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 t="s">
        <v>41</v>
      </c>
      <c r="AN427" s="32" t="s">
        <v>58</v>
      </c>
      <c r="AO427" s="32" t="s">
        <v>58</v>
      </c>
      <c r="AP427" s="70" t="s">
        <v>58</v>
      </c>
      <c r="AQ427" s="23"/>
      <c r="AR427" s="23"/>
      <c r="AS427" s="23" t="str">
        <f>IF(AND(AN427="Yes", AO427="Yes", AP427="Yes"), "Yes", IF(AND(AN427="", AO427="", AP427=""), "No", "Incomplete"))</f>
        <v>Yes</v>
      </c>
      <c r="AT427" s="29" t="str">
        <f>IF(AM427="Matric",IF(AN427="Yes","Yes",IF(AN427="Under Process", "Under Process","No")),IF(AM427="Inter",IF(AO427="Yes","Yes",IF(AO427="Under Process", "Under Process","No")),IF(AM427="Bachelor",IF(AP427="Yes","Yes",IF(AP427="Under Process", "Under Process","No")),IF(AM427="Master",IF(AQ427="Yes","Yes",IF(AQ427="Under Process", "Under Process","No")),IF(AM427="Vacant",IF(D423="Yes","No","Vacant"),IF(AM427="NA",IF(D423="Yes","No","NA"),"No"))))))</f>
        <v>Yes</v>
      </c>
      <c r="AU427" s="30"/>
      <c r="AV427" s="31"/>
      <c r="AW427" s="31" t="s">
        <v>59</v>
      </c>
      <c r="AX427" s="2" t="s">
        <v>64</v>
      </c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</row>
    <row r="428" spans="1:74" x14ac:dyDescent="0.25">
      <c r="A428" s="25">
        <v>424</v>
      </c>
      <c r="B428" s="23" t="s">
        <v>1171</v>
      </c>
      <c r="C428" s="23" t="s">
        <v>1166</v>
      </c>
      <c r="D428" s="26" t="s">
        <v>1172</v>
      </c>
      <c r="E428" s="23">
        <v>16</v>
      </c>
      <c r="F428" s="23" t="s">
        <v>67</v>
      </c>
      <c r="G428" s="23">
        <f>VLOOKUP(C428,[2]Sheet2!$T$3:$V$92,3,FALSE)</f>
        <v>66</v>
      </c>
      <c r="H428" s="23" t="s">
        <v>68</v>
      </c>
      <c r="I428" s="23" t="s">
        <v>436</v>
      </c>
      <c r="J428" s="23"/>
      <c r="K428" s="6">
        <v>0</v>
      </c>
      <c r="L428" s="23" t="s">
        <v>890</v>
      </c>
      <c r="M428" s="23"/>
      <c r="N428" s="23"/>
      <c r="O428" s="23" t="e">
        <f t="shared" ref="O428:O438" si="78">IF(DATEVALUE(MID(N428,15,10))-DATEVALUE(LEFT(N428,10))+1&gt;=365,"1 Year",
DATEDIF(DATEVALUE(LEFT(N428,10)),DATEVALUE(MID(N428,15,10)),"Y")&amp;" Years, "&amp;DATEDIF(DATEVALUE(LEFT(N428,10)),DATEVALUE(MID(N428,15,10)),"YM")&amp;" Months, "&amp;DATEDIF(DATEVALUE(LEFT(N428,10)),DATEVALUE(MID(N428,15,10)),"MD")&amp;" Days")</f>
        <v>#VALUE!</v>
      </c>
      <c r="P428" s="23"/>
      <c r="Q428" s="23"/>
      <c r="R428" s="27"/>
      <c r="S428" s="27"/>
      <c r="T428" s="23">
        <v>50176276</v>
      </c>
      <c r="U428" s="28">
        <v>4240134715366</v>
      </c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 t="s">
        <v>42</v>
      </c>
      <c r="AN428" s="32" t="s">
        <v>58</v>
      </c>
      <c r="AO428" s="32" t="s">
        <v>58</v>
      </c>
      <c r="AP428" s="32" t="s">
        <v>58</v>
      </c>
      <c r="AQ428" s="32" t="s">
        <v>58</v>
      </c>
      <c r="AR428" s="23"/>
      <c r="AS428" s="23" t="str">
        <f>IF(AND(AN428="Yes", AO428="Yes", AP428="Yes"), "Yes", IF(AND(AN428="", AO428="", AP428=""), "No", "Incomplete"))</f>
        <v>Yes</v>
      </c>
      <c r="AT428" s="29" t="str">
        <f>IF(AM428="Matric",IF(AN428="Yes","Yes",IF(AN428="Under Process", "Under Process","No")),IF(AM428="Inter",IF(AO428="Yes","Yes",IF(AO428="Under Process", "Under Process","No")),IF(AM428="Bachelor",IF(AP428="Yes","Yes",IF(AP428="Under Process", "Under Process","No")),IF(AM428="Master",IF(AQ428="Yes","Yes",IF(AQ428="Under Process", "Under Process","No")),IF(AM428="Vacant",IF(D436="Yes","No","Vacant"),IF(AM428="NA",IF(D436="Yes","No","NA"),"No"))))))</f>
        <v>Yes</v>
      </c>
      <c r="AU428" s="30"/>
      <c r="AV428" s="31"/>
      <c r="AW428" s="31" t="s">
        <v>59</v>
      </c>
      <c r="AX428" s="2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</row>
    <row r="429" spans="1:74" x14ac:dyDescent="0.25">
      <c r="A429" s="25">
        <v>425</v>
      </c>
      <c r="B429" s="23" t="s">
        <v>1173</v>
      </c>
      <c r="C429" s="23" t="s">
        <v>1166</v>
      </c>
      <c r="D429" s="26" t="s">
        <v>1174</v>
      </c>
      <c r="E429" s="23">
        <v>15</v>
      </c>
      <c r="F429" s="23" t="s">
        <v>108</v>
      </c>
      <c r="G429" s="23">
        <f>VLOOKUP(C429,[2]Sheet2!$T$3:$V$92,3,FALSE)</f>
        <v>66</v>
      </c>
      <c r="H429" s="23" t="s">
        <v>68</v>
      </c>
      <c r="I429" s="23" t="s">
        <v>436</v>
      </c>
      <c r="J429" s="23">
        <v>3</v>
      </c>
      <c r="K429" s="6">
        <v>0.7</v>
      </c>
      <c r="L429" s="23" t="s">
        <v>427</v>
      </c>
      <c r="M429" s="23"/>
      <c r="N429" s="23"/>
      <c r="O429" s="23" t="e">
        <f t="shared" si="78"/>
        <v>#VALUE!</v>
      </c>
      <c r="P429" s="23"/>
      <c r="Q429" s="23"/>
      <c r="R429" s="27"/>
      <c r="S429" s="27"/>
      <c r="T429" s="23">
        <v>50142973</v>
      </c>
      <c r="U429" s="28">
        <v>4130111943377</v>
      </c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 t="s">
        <v>41</v>
      </c>
      <c r="AN429" s="32" t="s">
        <v>58</v>
      </c>
      <c r="AO429" s="32" t="s">
        <v>58</v>
      </c>
      <c r="AP429" s="32" t="s">
        <v>58</v>
      </c>
      <c r="AQ429" s="23"/>
      <c r="AR429" s="23"/>
      <c r="AS429" s="23" t="str">
        <f>IF(AND(AN429="Yes", AO429="Yes", AP429="Yes"), "Yes", IF(AND(AN429="", AO429="", AP429=""), "No", "Incomplete"))</f>
        <v>Yes</v>
      </c>
      <c r="AT429" s="29" t="str">
        <f>IF(AM429="Matric",IF(AN429="Yes","Yes",IF(AN429="Under Process", "Under Process","No")),IF(AM429="Inter",IF(AO429="Yes","Yes",IF(AO429="Under Process", "Under Process","No")),IF(AM429="Bachelor",IF(AP429="Yes","Yes",IF(AP429="Under Process", "Under Process","No")),IF(AM429="Master",IF(AQ429="Yes","Yes",IF(AQ429="Under Process", "Under Process","No")),IF(AM429="Vacant",IF(D437="Yes","No","Vacant"),IF(AM429="NA",IF(D437="Yes","No","NA"),"No"))))))</f>
        <v>Yes</v>
      </c>
      <c r="AU429" s="30"/>
      <c r="AV429" s="31"/>
      <c r="AW429" s="31" t="s">
        <v>59</v>
      </c>
      <c r="AX429" s="2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</row>
    <row r="430" spans="1:74" x14ac:dyDescent="0.25">
      <c r="A430" s="25">
        <v>426</v>
      </c>
      <c r="B430" s="23" t="s">
        <v>1175</v>
      </c>
      <c r="C430" s="23" t="s">
        <v>1166</v>
      </c>
      <c r="D430" s="26" t="s">
        <v>1176</v>
      </c>
      <c r="E430" s="23">
        <v>15</v>
      </c>
      <c r="F430" s="23" t="s">
        <v>108</v>
      </c>
      <c r="G430" s="23">
        <f>VLOOKUP(C430,[2]Sheet2!$T$3:$V$92,3,FALSE)</f>
        <v>66</v>
      </c>
      <c r="H430" s="23" t="s">
        <v>68</v>
      </c>
      <c r="I430" s="23" t="s">
        <v>436</v>
      </c>
      <c r="J430" s="23"/>
      <c r="K430" s="6">
        <v>0</v>
      </c>
      <c r="L430" s="23" t="s">
        <v>890</v>
      </c>
      <c r="M430" s="23"/>
      <c r="N430" s="23"/>
      <c r="O430" s="23" t="e">
        <f t="shared" si="78"/>
        <v>#VALUE!</v>
      </c>
      <c r="P430" s="23"/>
      <c r="Q430" s="23"/>
      <c r="R430" s="27"/>
      <c r="S430" s="27"/>
      <c r="T430" s="23">
        <v>50188236</v>
      </c>
      <c r="U430" s="28">
        <v>4130527976703</v>
      </c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 t="s">
        <v>41</v>
      </c>
      <c r="AN430" s="32" t="s">
        <v>58</v>
      </c>
      <c r="AO430" s="39" t="s">
        <v>58</v>
      </c>
      <c r="AP430" s="32" t="s">
        <v>58</v>
      </c>
      <c r="AQ430" s="23"/>
      <c r="AR430" s="23"/>
      <c r="AS430" s="23" t="str">
        <f>IF(AND(AN430="Yes", AO430="Yes", AP430="Yes"), "Yes", IF(AND(AN430="", AO430="", AP430=""), "No", "Incomplete"))</f>
        <v>Yes</v>
      </c>
      <c r="AT430" s="29" t="str">
        <f>IF(AM430="Matric",IF(AN430="Yes","Yes",IF(AN430="Under Process", "Under Process","No")),IF(AM430="Inter",IF(AO430="Yes","Yes",IF(AO430="Under Process", "Under Process","No")),IF(AM430="Bachelor",IF(AP430="Yes","Yes",IF(AP430="Under Process", "Under Process","No")),IF(AM430="Master",IF(AQ430="Yes","Yes",IF(AQ430="Under Process", "Under Process","No")),IF(AM430="Vacant",IF(D438="Yes","No","Vacant"),IF(AM430="NA",IF(D438="Yes","No","NA"),"No"))))))</f>
        <v>Yes</v>
      </c>
      <c r="AU430" s="30"/>
      <c r="AV430" s="31"/>
      <c r="AW430" s="31" t="s">
        <v>59</v>
      </c>
      <c r="AX430" s="2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</row>
    <row r="431" spans="1:74" x14ac:dyDescent="0.25">
      <c r="A431" s="25">
        <v>453</v>
      </c>
      <c r="B431" s="23" t="s">
        <v>1177</v>
      </c>
      <c r="C431" s="23" t="s">
        <v>1166</v>
      </c>
      <c r="D431" s="26" t="s">
        <v>1178</v>
      </c>
      <c r="E431" s="23">
        <v>13</v>
      </c>
      <c r="F431" s="23" t="s">
        <v>131</v>
      </c>
      <c r="G431" s="23">
        <f>VLOOKUP(C431,[2]Sheet2!$T$3:$V$92,3,FALSE)</f>
        <v>66</v>
      </c>
      <c r="H431" s="23" t="s">
        <v>68</v>
      </c>
      <c r="I431" s="23" t="s">
        <v>436</v>
      </c>
      <c r="J431" s="23"/>
      <c r="K431" s="6">
        <v>0</v>
      </c>
      <c r="L431" s="23" t="s">
        <v>890</v>
      </c>
      <c r="M431" s="23"/>
      <c r="N431" s="23"/>
      <c r="O431" s="23" t="e">
        <f t="shared" si="78"/>
        <v>#VALUE!</v>
      </c>
      <c r="P431" s="23"/>
      <c r="Q431" s="23"/>
      <c r="R431" s="27"/>
      <c r="S431" s="27"/>
      <c r="T431" s="23">
        <v>10041118</v>
      </c>
      <c r="U431" s="28">
        <v>4130363859853</v>
      </c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 t="s">
        <v>42</v>
      </c>
      <c r="AN431" s="32" t="s">
        <v>58</v>
      </c>
      <c r="AO431" s="32" t="s">
        <v>58</v>
      </c>
      <c r="AP431" s="32" t="s">
        <v>58</v>
      </c>
      <c r="AQ431" s="32" t="s">
        <v>58</v>
      </c>
      <c r="AR431" s="23"/>
      <c r="AS431" s="23" t="str">
        <f>IF(AND(AN431="Yes", AO431="Yes"), "Yes", IF(AND(AN431="", AO431=""), "No", "Incomplete"))</f>
        <v>Yes</v>
      </c>
      <c r="AT431" s="29" t="str">
        <f>IF(AM431="Matric",IF(AN431="Yes","Yes",IF(AN431="Under Process", "Under Process","No")),IF(AM431="Inter",IF(AO431="Yes","Yes",IF(AO431="Under Process", "Under Process","No")),IF(AM431="Bachelor",IF(AP431="Yes","Yes",IF(AP431="Under Process", "Under Process","No")),IF(AM431="Master",IF(AQ431="Yes","Yes",IF(AQ431="Under Process", "Under Process","No")),IF(AM431="Vacant",IF(D439="Yes","No","Vacant"),IF(AM431="NA",IF(D439="Yes","No","NA"),"No"))))))</f>
        <v>Yes</v>
      </c>
      <c r="AU431" s="30"/>
      <c r="AV431" s="31"/>
      <c r="AW431" s="31" t="s">
        <v>59</v>
      </c>
      <c r="AX431" s="2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</row>
    <row r="432" spans="1:74" x14ac:dyDescent="0.25">
      <c r="A432" s="25">
        <v>415</v>
      </c>
      <c r="B432" s="23" t="s">
        <v>1179</v>
      </c>
      <c r="C432" s="23" t="s">
        <v>1166</v>
      </c>
      <c r="D432" s="26" t="s">
        <v>1180</v>
      </c>
      <c r="E432" s="23">
        <v>11</v>
      </c>
      <c r="F432" s="23" t="s">
        <v>138</v>
      </c>
      <c r="G432" s="23">
        <f>VLOOKUP(C432,[2]Sheet2!$T$3:$V$92,3,FALSE)</f>
        <v>66</v>
      </c>
      <c r="H432" s="23" t="s">
        <v>68</v>
      </c>
      <c r="I432" s="23" t="s">
        <v>436</v>
      </c>
      <c r="J432" s="23"/>
      <c r="K432" s="6">
        <v>0</v>
      </c>
      <c r="L432" s="23" t="s">
        <v>890</v>
      </c>
      <c r="M432" s="23"/>
      <c r="N432" s="23"/>
      <c r="O432" s="23" t="e">
        <f t="shared" si="78"/>
        <v>#VALUE!</v>
      </c>
      <c r="P432" s="23"/>
      <c r="Q432" s="23"/>
      <c r="R432" s="27"/>
      <c r="S432" s="27"/>
      <c r="T432" s="23">
        <v>50170334</v>
      </c>
      <c r="U432" s="28">
        <v>4150403546695</v>
      </c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 t="s">
        <v>42</v>
      </c>
      <c r="AN432" s="32" t="s">
        <v>58</v>
      </c>
      <c r="AO432" s="32" t="s">
        <v>58</v>
      </c>
      <c r="AP432" s="70" t="s">
        <v>58</v>
      </c>
      <c r="AQ432" s="70" t="s">
        <v>58</v>
      </c>
      <c r="AR432" s="23" t="s">
        <v>612</v>
      </c>
      <c r="AS432" s="23" t="str">
        <f t="shared" ref="AS432:AS438" si="79">IF(AND(AN432="Yes"), "Yes", IF(AND(AN432=""), "No", "Incomplete"))</f>
        <v>Yes</v>
      </c>
      <c r="AT432" s="29" t="str">
        <f>IF(AM432="Matric",IF(AN432="Yes","Yes",IF(AN432="Under Process", "Under Process","No")),IF(AM432="Inter",IF(AO432="Yes","Yes",IF(AO432="Under Process", "Under Process","No")),IF(AM432="Bachelor",IF(AP432="Yes","Yes",IF(AP432="Under Process", "Under Process","No")),IF(AM432="Master",IF(AQ432="Yes","Yes",IF(AQ432="Under Process", "Under Process","No")),IF(AM432="Vacant",IF(#REF!="Yes","No","Vacant"),IF(AM432="NA",IF(#REF!="Yes","No","NA"),"No"))))))</f>
        <v>Yes</v>
      </c>
      <c r="AU432" s="30"/>
      <c r="AV432" s="31"/>
      <c r="AW432" s="31" t="s">
        <v>59</v>
      </c>
      <c r="AX432" s="2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</row>
    <row r="433" spans="1:74" x14ac:dyDescent="0.25">
      <c r="A433" s="25">
        <v>429</v>
      </c>
      <c r="B433" s="23" t="s">
        <v>1181</v>
      </c>
      <c r="C433" s="23" t="s">
        <v>1166</v>
      </c>
      <c r="D433" s="26" t="s">
        <v>1182</v>
      </c>
      <c r="E433" s="23">
        <v>11</v>
      </c>
      <c r="F433" s="23" t="s">
        <v>138</v>
      </c>
      <c r="G433" s="23">
        <f>VLOOKUP(C433,[2]Sheet2!$T$3:$V$92,3,FALSE)</f>
        <v>66</v>
      </c>
      <c r="H433" s="23" t="s">
        <v>68</v>
      </c>
      <c r="I433" s="23" t="s">
        <v>436</v>
      </c>
      <c r="J433" s="23"/>
      <c r="K433" s="6">
        <v>0</v>
      </c>
      <c r="L433" s="23" t="s">
        <v>890</v>
      </c>
      <c r="M433" s="23"/>
      <c r="N433" s="23"/>
      <c r="O433" s="23" t="e">
        <f t="shared" si="78"/>
        <v>#VALUE!</v>
      </c>
      <c r="P433" s="23"/>
      <c r="Q433" s="23"/>
      <c r="R433" s="27"/>
      <c r="S433" s="27"/>
      <c r="T433" s="23">
        <v>50540092</v>
      </c>
      <c r="U433" s="28">
        <v>4130343226953</v>
      </c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 t="s">
        <v>41</v>
      </c>
      <c r="AN433" s="32" t="s">
        <v>58</v>
      </c>
      <c r="AO433" s="32" t="s">
        <v>58</v>
      </c>
      <c r="AP433" s="32" t="s">
        <v>58</v>
      </c>
      <c r="AQ433" s="23"/>
      <c r="AR433" s="23"/>
      <c r="AS433" s="23" t="str">
        <f t="shared" si="79"/>
        <v>Yes</v>
      </c>
      <c r="AT433" s="29" t="str">
        <f t="shared" ref="AT433:AT439" si="80">IF(AM433="Matric",IF(AN433="Yes","Yes",IF(AN433="Under Process", "Under Process","No")),IF(AM433="Inter",IF(AO433="Yes","Yes",IF(AO433="Under Process", "Under Process","No")),IF(AM433="Bachelor",IF(AP433="Yes","Yes",IF(AP433="Under Process", "Under Process","No")),IF(AM433="Master",IF(AQ433="Yes","Yes",IF(AQ433="Under Process", "Under Process","No")),IF(AM433="Vacant",IF(D441="Yes","No","Vacant"),IF(AM433="NA",IF(D441="Yes","No","NA"),"No"))))))</f>
        <v>Yes</v>
      </c>
      <c r="AU433" s="30"/>
      <c r="AV433" s="31"/>
      <c r="AW433" s="31" t="s">
        <v>59</v>
      </c>
      <c r="AX433" s="2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</row>
    <row r="434" spans="1:74" x14ac:dyDescent="0.25">
      <c r="A434" s="25">
        <v>430</v>
      </c>
      <c r="B434" s="23" t="s">
        <v>1183</v>
      </c>
      <c r="C434" s="23" t="s">
        <v>1166</v>
      </c>
      <c r="D434" s="26" t="s">
        <v>134</v>
      </c>
      <c r="E434" s="23">
        <v>7</v>
      </c>
      <c r="F434" s="23" t="s">
        <v>264</v>
      </c>
      <c r="G434" s="23">
        <f>VLOOKUP(C434,[2]Sheet2!$T$3:$V$92,3,FALSE)</f>
        <v>66</v>
      </c>
      <c r="H434" s="23" t="s">
        <v>68</v>
      </c>
      <c r="I434" s="23" t="s">
        <v>436</v>
      </c>
      <c r="J434" s="23"/>
      <c r="K434" s="6">
        <v>0</v>
      </c>
      <c r="L434" s="23" t="s">
        <v>890</v>
      </c>
      <c r="M434" s="23"/>
      <c r="N434" s="23"/>
      <c r="O434" s="23" t="e">
        <f t="shared" si="78"/>
        <v>#VALUE!</v>
      </c>
      <c r="P434" s="23"/>
      <c r="Q434" s="23"/>
      <c r="R434" s="27"/>
      <c r="S434" s="27"/>
      <c r="T434" s="23">
        <v>10041582</v>
      </c>
      <c r="U434" s="28">
        <v>4130378609263</v>
      </c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 t="s">
        <v>73</v>
      </c>
      <c r="AN434" s="23"/>
      <c r="AO434" s="23"/>
      <c r="AP434" s="23"/>
      <c r="AQ434" s="23"/>
      <c r="AR434" s="23"/>
      <c r="AS434" s="23" t="str">
        <f t="shared" si="79"/>
        <v>No</v>
      </c>
      <c r="AT434" s="29" t="str">
        <f t="shared" si="80"/>
        <v>NA</v>
      </c>
      <c r="AU434" s="30"/>
      <c r="AV434" s="31" t="s">
        <v>64</v>
      </c>
      <c r="AW434" s="31" t="s">
        <v>59</v>
      </c>
      <c r="AX434" s="2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</row>
    <row r="435" spans="1:74" x14ac:dyDescent="0.25">
      <c r="A435" s="25">
        <v>431</v>
      </c>
      <c r="B435" s="23" t="s">
        <v>1184</v>
      </c>
      <c r="C435" s="23" t="s">
        <v>1166</v>
      </c>
      <c r="D435" s="26" t="s">
        <v>1185</v>
      </c>
      <c r="E435" s="23">
        <v>4</v>
      </c>
      <c r="F435" s="23" t="s">
        <v>161</v>
      </c>
      <c r="G435" s="23">
        <f>VLOOKUP(C435,[2]Sheet2!$T$3:$V$92,3,FALSE)</f>
        <v>66</v>
      </c>
      <c r="H435" s="23" t="s">
        <v>68</v>
      </c>
      <c r="I435" s="23" t="s">
        <v>436</v>
      </c>
      <c r="J435" s="23"/>
      <c r="K435" s="6">
        <v>0</v>
      </c>
      <c r="L435" s="23" t="s">
        <v>890</v>
      </c>
      <c r="M435" s="43" t="s">
        <v>258</v>
      </c>
      <c r="N435" s="43"/>
      <c r="O435" s="23" t="e">
        <f t="shared" si="78"/>
        <v>#VALUE!</v>
      </c>
      <c r="P435" s="43"/>
      <c r="Q435" s="43"/>
      <c r="R435" s="44">
        <v>41456</v>
      </c>
      <c r="S435" s="44">
        <v>41456</v>
      </c>
      <c r="T435" s="23">
        <v>50190148</v>
      </c>
      <c r="U435" s="28">
        <v>4130743758319</v>
      </c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 t="s">
        <v>39</v>
      </c>
      <c r="AN435" s="32" t="s">
        <v>58</v>
      </c>
      <c r="AO435" s="23"/>
      <c r="AP435" s="23"/>
      <c r="AQ435" s="23"/>
      <c r="AR435" s="23"/>
      <c r="AS435" s="23" t="str">
        <f t="shared" si="79"/>
        <v>Yes</v>
      </c>
      <c r="AT435" s="29" t="str">
        <f t="shared" si="80"/>
        <v>Yes</v>
      </c>
      <c r="AU435" s="30"/>
      <c r="AV435" s="31"/>
      <c r="AW435" s="31" t="s">
        <v>59</v>
      </c>
      <c r="AX435" s="2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</row>
    <row r="436" spans="1:74" x14ac:dyDescent="0.25">
      <c r="A436" s="25">
        <v>432</v>
      </c>
      <c r="B436" s="23" t="s">
        <v>1186</v>
      </c>
      <c r="C436" s="23" t="s">
        <v>1166</v>
      </c>
      <c r="D436" s="26" t="s">
        <v>1187</v>
      </c>
      <c r="E436" s="23">
        <v>4</v>
      </c>
      <c r="F436" s="23" t="s">
        <v>161</v>
      </c>
      <c r="G436" s="23">
        <f>VLOOKUP(C436,[2]Sheet2!$T$3:$V$92,3,FALSE)</f>
        <v>66</v>
      </c>
      <c r="H436" s="23" t="s">
        <v>68</v>
      </c>
      <c r="I436" s="23" t="s">
        <v>436</v>
      </c>
      <c r="J436" s="23">
        <v>3</v>
      </c>
      <c r="K436" s="6">
        <v>0.8</v>
      </c>
      <c r="L436" s="23" t="s">
        <v>574</v>
      </c>
      <c r="M436" s="63" t="s">
        <v>258</v>
      </c>
      <c r="N436" s="63"/>
      <c r="O436" s="23" t="e">
        <f t="shared" si="78"/>
        <v>#VALUE!</v>
      </c>
      <c r="P436" s="63"/>
      <c r="Q436" s="63"/>
      <c r="R436" s="64">
        <v>41479</v>
      </c>
      <c r="S436" s="64">
        <v>41479</v>
      </c>
      <c r="T436" s="23">
        <v>50190149</v>
      </c>
      <c r="U436" s="28">
        <v>4130797000659</v>
      </c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 t="s">
        <v>40</v>
      </c>
      <c r="AN436" s="32" t="s">
        <v>58</v>
      </c>
      <c r="AO436" s="32" t="s">
        <v>58</v>
      </c>
      <c r="AP436" s="23"/>
      <c r="AQ436" s="23"/>
      <c r="AR436" s="23"/>
      <c r="AS436" s="23" t="str">
        <f t="shared" si="79"/>
        <v>Yes</v>
      </c>
      <c r="AT436" s="29" t="str">
        <f t="shared" si="80"/>
        <v>Yes</v>
      </c>
      <c r="AU436" s="30"/>
      <c r="AV436" s="31"/>
      <c r="AW436" s="31" t="s">
        <v>59</v>
      </c>
      <c r="AX436" s="2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</row>
    <row r="437" spans="1:74" x14ac:dyDescent="0.25">
      <c r="A437" s="25">
        <v>433</v>
      </c>
      <c r="B437" s="23" t="s">
        <v>1188</v>
      </c>
      <c r="C437" s="23" t="s">
        <v>1166</v>
      </c>
      <c r="D437" s="26" t="s">
        <v>1189</v>
      </c>
      <c r="E437" s="23">
        <v>4</v>
      </c>
      <c r="F437" s="23" t="s">
        <v>71</v>
      </c>
      <c r="G437" s="23">
        <f>VLOOKUP(C437,[2]Sheet2!$T$3:$V$92,3,FALSE)</f>
        <v>66</v>
      </c>
      <c r="H437" s="23" t="s">
        <v>68</v>
      </c>
      <c r="I437" s="23" t="s">
        <v>436</v>
      </c>
      <c r="J437" s="23"/>
      <c r="K437" s="6">
        <v>0</v>
      </c>
      <c r="L437" s="23" t="s">
        <v>890</v>
      </c>
      <c r="M437" s="23"/>
      <c r="N437" s="23"/>
      <c r="O437" s="23" t="e">
        <f t="shared" si="78"/>
        <v>#VALUE!</v>
      </c>
      <c r="P437" s="23"/>
      <c r="Q437" s="23"/>
      <c r="R437" s="27"/>
      <c r="S437" s="27"/>
      <c r="T437" s="23">
        <v>10677482</v>
      </c>
      <c r="U437" s="28">
        <v>4130584479931</v>
      </c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 t="s">
        <v>40</v>
      </c>
      <c r="AN437" s="32" t="s">
        <v>58</v>
      </c>
      <c r="AO437" s="39" t="s">
        <v>58</v>
      </c>
      <c r="AP437" s="23"/>
      <c r="AQ437" s="23"/>
      <c r="AR437" s="23"/>
      <c r="AS437" s="23" t="str">
        <f t="shared" si="79"/>
        <v>Yes</v>
      </c>
      <c r="AT437" s="29" t="str">
        <f t="shared" si="80"/>
        <v>Yes</v>
      </c>
      <c r="AU437" s="30"/>
      <c r="AV437" s="31"/>
      <c r="AW437" s="31" t="s">
        <v>59</v>
      </c>
      <c r="AX437" s="2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</row>
    <row r="438" spans="1:74" x14ac:dyDescent="0.25">
      <c r="A438" s="25">
        <v>434</v>
      </c>
      <c r="B438" s="23" t="s">
        <v>1190</v>
      </c>
      <c r="C438" s="23" t="s">
        <v>1166</v>
      </c>
      <c r="D438" s="41" t="s">
        <v>1191</v>
      </c>
      <c r="E438" s="23">
        <v>2</v>
      </c>
      <c r="F438" s="23" t="s">
        <v>71</v>
      </c>
      <c r="G438" s="23">
        <f>VLOOKUP(C438,[2]Sheet2!$T$3:$V$92,3,FALSE)</f>
        <v>66</v>
      </c>
      <c r="H438" s="23" t="s">
        <v>68</v>
      </c>
      <c r="I438" s="23" t="s">
        <v>436</v>
      </c>
      <c r="J438" s="23"/>
      <c r="K438" s="6">
        <v>0</v>
      </c>
      <c r="L438" s="23"/>
      <c r="M438" s="23"/>
      <c r="N438" s="23"/>
      <c r="O438" s="23" t="e">
        <f t="shared" si="78"/>
        <v>#VALUE!</v>
      </c>
      <c r="P438" s="23"/>
      <c r="Q438" s="23"/>
      <c r="R438" s="27"/>
      <c r="S438" s="27"/>
      <c r="T438" s="23"/>
      <c r="U438" s="28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 t="s">
        <v>40</v>
      </c>
      <c r="AN438" s="23"/>
      <c r="AO438" s="32" t="s">
        <v>58</v>
      </c>
      <c r="AP438" s="23"/>
      <c r="AQ438" s="23"/>
      <c r="AR438" s="23"/>
      <c r="AS438" s="23" t="str">
        <f t="shared" si="79"/>
        <v>No</v>
      </c>
      <c r="AT438" s="29" t="str">
        <f t="shared" si="80"/>
        <v>Yes</v>
      </c>
      <c r="AU438" s="30"/>
      <c r="AV438" s="31"/>
      <c r="AW438" s="31"/>
      <c r="AX438" s="2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</row>
    <row r="439" spans="1:74" x14ac:dyDescent="0.25">
      <c r="A439" s="25">
        <v>435</v>
      </c>
      <c r="B439" s="23" t="s">
        <v>1192</v>
      </c>
      <c r="C439" s="23" t="s">
        <v>1193</v>
      </c>
      <c r="D439" s="26" t="s">
        <v>1194</v>
      </c>
      <c r="E439" s="23">
        <v>18</v>
      </c>
      <c r="F439" s="23" t="s">
        <v>440</v>
      </c>
      <c r="G439" s="23">
        <f>VLOOKUP(C439,[2]Sheet2!$T$3:$V$92,3,FALSE)</f>
        <v>67</v>
      </c>
      <c r="H439" s="23" t="s">
        <v>54</v>
      </c>
      <c r="I439" s="23" t="s">
        <v>436</v>
      </c>
      <c r="J439" s="23"/>
      <c r="L439" s="23"/>
      <c r="M439" s="23"/>
      <c r="N439" s="23" t="s">
        <v>56</v>
      </c>
      <c r="O439" s="23" t="e">
        <f ca="1">IF(ISNUMBER(SEARCH("to", N439)),
_xlfn.LET(
    _xlpm.text_n3, N439,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439" s="23"/>
      <c r="Q439" s="23" t="s">
        <v>57</v>
      </c>
      <c r="R439" s="27"/>
      <c r="S439" s="27"/>
      <c r="T439" s="23">
        <v>10434013</v>
      </c>
      <c r="U439" s="28">
        <v>4130426988473</v>
      </c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 t="s">
        <v>41</v>
      </c>
      <c r="AN439" s="23" t="s">
        <v>58</v>
      </c>
      <c r="AO439" s="23" t="s">
        <v>58</v>
      </c>
      <c r="AP439" s="32" t="s">
        <v>58</v>
      </c>
      <c r="AQ439" s="23"/>
      <c r="AR439" s="23"/>
      <c r="AS439" s="23" t="str">
        <f>IF(AND(AN439="Yes", AO439="Yes", AP439="Yes"), "Yes", IF(AND(AN439="", AO439="", AP439=""), "No", "Incomplete"))</f>
        <v>Yes</v>
      </c>
      <c r="AT439" s="29" t="str">
        <f t="shared" si="80"/>
        <v>Yes</v>
      </c>
      <c r="AU439" s="30"/>
      <c r="AV439" s="31"/>
      <c r="AW439" s="31" t="s">
        <v>59</v>
      </c>
      <c r="AX439" s="2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</row>
    <row r="440" spans="1:74" ht="28.5" x14ac:dyDescent="0.25">
      <c r="A440" s="25">
        <v>436</v>
      </c>
      <c r="B440" s="23" t="s">
        <v>1195</v>
      </c>
      <c r="C440" s="23" t="s">
        <v>1193</v>
      </c>
      <c r="D440" s="26" t="s">
        <v>1196</v>
      </c>
      <c r="E440" s="23">
        <v>17</v>
      </c>
      <c r="F440" s="23" t="s">
        <v>1197</v>
      </c>
      <c r="G440" s="23">
        <f>VLOOKUP(C440,[2]Sheet2!$T$3:$V$92,3,FALSE)</f>
        <v>67</v>
      </c>
      <c r="H440" s="23" t="s">
        <v>54</v>
      </c>
      <c r="I440" s="23" t="s">
        <v>436</v>
      </c>
      <c r="J440" s="23"/>
      <c r="L440" s="23"/>
      <c r="M440" s="23"/>
      <c r="N440" s="23" t="s">
        <v>587</v>
      </c>
      <c r="O440" s="23" t="e">
        <f ca="1">IF(ISNUMBER(SEARCH("to", N440)),
_xlfn.LET(
    _xlpm.text_n3, N440,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440" s="23"/>
      <c r="Q440" s="23" t="s">
        <v>57</v>
      </c>
      <c r="R440" s="27">
        <v>43845</v>
      </c>
      <c r="S440" s="27">
        <v>45426</v>
      </c>
      <c r="T440" s="23">
        <v>50549542</v>
      </c>
      <c r="U440" s="28">
        <v>4130441306207</v>
      </c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 t="s">
        <v>41</v>
      </c>
      <c r="AN440" s="32" t="s">
        <v>58</v>
      </c>
      <c r="AO440" s="32" t="s">
        <v>58</v>
      </c>
      <c r="AP440" s="32" t="s">
        <v>58</v>
      </c>
      <c r="AQ440" s="23"/>
      <c r="AR440" s="23"/>
      <c r="AS440" s="23" t="str">
        <f>IF(AND(AN440="Yes", AO440="Yes", AP440="Yes"), "Yes", IF(AND(AN440="", AO440="", AP440=""), "No", "Incomplete"))</f>
        <v>Yes</v>
      </c>
      <c r="AT440" s="29" t="str">
        <f>IF(AM440="Matric",IF(AN440="Yes","Yes",IF(AN440="Under Process", "Under Process","No")),IF(AM440="Inter",IF(AO440="Yes","Yes",IF(AO440="Under Process", "Under Process","No")),IF(AM440="Bachelor",IF(AP440="Yes","Yes",IF(AP440="Under Process", "Under Process","No")),IF(AM440="Master",IF(AQ440="Yes","Yes",IF(AQ440="Under Process", "Under Process","No")),IF(AM440="Vacant",IF(#REF!="Yes","No","Vacant"),IF(AM440="NA",IF(#REF!="Yes","No","NA"),"No"))))))</f>
        <v>Yes</v>
      </c>
      <c r="AU440" s="30"/>
      <c r="AV440" s="31"/>
      <c r="AW440" s="31"/>
      <c r="AX440" s="2" t="s">
        <v>64</v>
      </c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</row>
    <row r="441" spans="1:74" x14ac:dyDescent="0.25">
      <c r="A441" s="25">
        <v>437</v>
      </c>
      <c r="B441" s="23" t="s">
        <v>1198</v>
      </c>
      <c r="C441" s="23" t="s">
        <v>1193</v>
      </c>
      <c r="D441" s="26" t="s">
        <v>1199</v>
      </c>
      <c r="E441" s="23">
        <v>16</v>
      </c>
      <c r="F441" s="23" t="s">
        <v>67</v>
      </c>
      <c r="G441" s="23">
        <f>VLOOKUP(C441,[2]Sheet2!$T$3:$V$92,3,FALSE)</f>
        <v>67</v>
      </c>
      <c r="H441" s="23" t="s">
        <v>68</v>
      </c>
      <c r="I441" s="23" t="s">
        <v>436</v>
      </c>
      <c r="J441" s="23">
        <v>3</v>
      </c>
      <c r="K441" s="6">
        <v>0.6</v>
      </c>
      <c r="L441" s="23" t="s">
        <v>376</v>
      </c>
      <c r="M441" s="23"/>
      <c r="N441" s="23"/>
      <c r="O441" s="23" t="e">
        <f t="shared" ref="O441:O451" si="81">IF(DATEVALUE(MID(N441,15,10))-DATEVALUE(LEFT(N441,10))+1&gt;=365,"1 Year",
DATEDIF(DATEVALUE(LEFT(N441,10)),DATEVALUE(MID(N441,15,10)),"Y")&amp;" Years, "&amp;DATEDIF(DATEVALUE(LEFT(N441,10)),DATEVALUE(MID(N441,15,10)),"YM")&amp;" Months, "&amp;DATEDIF(DATEVALUE(LEFT(N441,10)),DATEVALUE(MID(N441,15,10)),"MD")&amp;" Days")</f>
        <v>#VALUE!</v>
      </c>
      <c r="P441" s="23"/>
      <c r="Q441" s="23"/>
      <c r="R441" s="27"/>
      <c r="S441" s="27"/>
      <c r="T441" s="23">
        <v>10041114</v>
      </c>
      <c r="U441" s="28">
        <v>4130316168001</v>
      </c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 t="s">
        <v>42</v>
      </c>
      <c r="AN441" s="23"/>
      <c r="AO441" s="23"/>
      <c r="AP441" s="23" t="s">
        <v>58</v>
      </c>
      <c r="AQ441" s="23" t="s">
        <v>58</v>
      </c>
      <c r="AR441" s="23"/>
      <c r="AS441" s="23" t="str">
        <f>IF(AND(AN441="Yes", AO441="Yes", AP441="Yes"), "Yes", IF(AND(AN441="", AO441="", AP441=""), "No", "Incomplete"))</f>
        <v>Incomplete</v>
      </c>
      <c r="AT441" s="29" t="str">
        <f>IF(AM441="Matric",IF(AN441="Yes","Yes",IF(AN441="Under Process", "Under Process","No")),IF(AM441="Inter",IF(AO441="Yes","Yes",IF(AO441="Under Process", "Under Process","No")),IF(AM441="Bachelor",IF(AP441="Yes","Yes",IF(AP441="Under Process", "Under Process","No")),IF(AM441="Master",IF(AQ441="Yes","Yes",IF(AQ441="Under Process", "Under Process","No")),IF(AM441="Vacant",IF(D449="Yes","No","Vacant"),IF(AM441="NA",IF(D449="Yes","No","NA"),"No"))))))</f>
        <v>Yes</v>
      </c>
      <c r="AU441" s="30"/>
      <c r="AV441" s="31" t="s">
        <v>64</v>
      </c>
      <c r="AW441" s="31" t="s">
        <v>59</v>
      </c>
      <c r="AX441" s="2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</row>
    <row r="442" spans="1:74" x14ac:dyDescent="0.25">
      <c r="A442" s="25">
        <v>438</v>
      </c>
      <c r="B442" s="23" t="s">
        <v>1200</v>
      </c>
      <c r="C442" s="23" t="s">
        <v>1193</v>
      </c>
      <c r="D442" s="26" t="s">
        <v>1201</v>
      </c>
      <c r="E442" s="23">
        <v>15</v>
      </c>
      <c r="F442" s="23" t="s">
        <v>108</v>
      </c>
      <c r="G442" s="23">
        <f>VLOOKUP(C442,[2]Sheet2!$T$3:$V$92,3,FALSE)</f>
        <v>67</v>
      </c>
      <c r="H442" s="23" t="s">
        <v>68</v>
      </c>
      <c r="I442" s="23" t="s">
        <v>436</v>
      </c>
      <c r="J442" s="23"/>
      <c r="K442" s="6">
        <v>0</v>
      </c>
      <c r="L442" s="23" t="s">
        <v>890</v>
      </c>
      <c r="M442" s="23"/>
      <c r="N442" s="23"/>
      <c r="O442" s="23" t="e">
        <f t="shared" si="81"/>
        <v>#VALUE!</v>
      </c>
      <c r="P442" s="23"/>
      <c r="Q442" s="23"/>
      <c r="R442" s="27"/>
      <c r="S442" s="27"/>
      <c r="T442" s="23">
        <v>50170523</v>
      </c>
      <c r="U442" s="28">
        <v>4130716876577</v>
      </c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 t="s">
        <v>42</v>
      </c>
      <c r="AN442" s="23"/>
      <c r="AO442" s="23"/>
      <c r="AP442" s="32" t="s">
        <v>58</v>
      </c>
      <c r="AQ442" s="32" t="s">
        <v>58</v>
      </c>
      <c r="AR442" s="23"/>
      <c r="AS442" s="23" t="str">
        <f>IF(AND(AN442="Yes", AO442="Yes", AP442="Yes"), "Yes", IF(AND(AN442="", AO442="", AP442=""), "No", "Incomplete"))</f>
        <v>Incomplete</v>
      </c>
      <c r="AT442" s="29" t="str">
        <f>IF(AM442="Matric",IF(AN442="Yes","Yes",IF(AN442="Under Process", "Under Process","No")),IF(AM442="Inter",IF(AO442="Yes","Yes",IF(AO442="Under Process", "Under Process","No")),IF(AM442="Bachelor",IF(AP442="Yes","Yes",IF(AP442="Under Process", "Under Process","No")),IF(AM442="Master",IF(AQ442="Yes","Yes",IF(AQ442="Under Process", "Under Process","No")),IF(AM442="Vacant",IF(D450="Yes","No","Vacant"),IF(AM442="NA",IF(D450="Yes","No","NA"),"No"))))))</f>
        <v>Yes</v>
      </c>
      <c r="AU442" s="30"/>
      <c r="AV442" s="31"/>
      <c r="AW442" s="31" t="s">
        <v>59</v>
      </c>
      <c r="AX442" s="2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</row>
    <row r="443" spans="1:74" x14ac:dyDescent="0.25">
      <c r="A443" s="25">
        <v>439</v>
      </c>
      <c r="B443" s="23" t="s">
        <v>1202</v>
      </c>
      <c r="C443" s="23" t="s">
        <v>1193</v>
      </c>
      <c r="D443" s="26" t="s">
        <v>1203</v>
      </c>
      <c r="E443" s="23">
        <v>15</v>
      </c>
      <c r="F443" s="23" t="s">
        <v>108</v>
      </c>
      <c r="G443" s="23">
        <f>VLOOKUP(C443,[2]Sheet2!$T$3:$V$92,3,FALSE)</f>
        <v>67</v>
      </c>
      <c r="H443" s="23" t="s">
        <v>68</v>
      </c>
      <c r="I443" s="23" t="s">
        <v>436</v>
      </c>
      <c r="J443" s="23">
        <v>3</v>
      </c>
      <c r="K443" s="6">
        <v>0.9</v>
      </c>
      <c r="L443" s="23" t="s">
        <v>574</v>
      </c>
      <c r="M443" s="23"/>
      <c r="N443" s="23"/>
      <c r="O443" s="23" t="e">
        <f t="shared" si="81"/>
        <v>#VALUE!</v>
      </c>
      <c r="P443" s="23"/>
      <c r="Q443" s="23"/>
      <c r="R443" s="27"/>
      <c r="S443" s="27"/>
      <c r="T443" s="23">
        <v>50192033</v>
      </c>
      <c r="U443" s="28">
        <v>4130776081205</v>
      </c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 t="s">
        <v>41</v>
      </c>
      <c r="AN443" s="23" t="s">
        <v>58</v>
      </c>
      <c r="AO443" s="23"/>
      <c r="AP443" s="32" t="s">
        <v>58</v>
      </c>
      <c r="AQ443" s="23"/>
      <c r="AR443" s="23"/>
      <c r="AS443" s="23" t="str">
        <f>IF(AND(AN443="Yes", AO443="Yes", AP443="Yes"), "Yes", IF(AND(AN443="", AO443="", AP443=""), "No", "Incomplete"))</f>
        <v>Incomplete</v>
      </c>
      <c r="AT443" s="29" t="str">
        <f>IF(AM443="Matric",IF(AN443="Yes","Yes",IF(AN443="Under Process", "Under Process","No")),IF(AM443="Inter",IF(AO443="Yes","Yes",IF(AO443="Under Process", "Under Process","No")),IF(AM443="Bachelor",IF(AP443="Yes","Yes",IF(AP443="Under Process", "Under Process","No")),IF(AM443="Master",IF(AQ443="Yes","Yes",IF(AQ443="Under Process", "Under Process","No")),IF(AM443="Vacant",IF(D451="Yes","No","Vacant"),IF(AM443="NA",IF(D451="Yes","No","NA"),"No"))))))</f>
        <v>Yes</v>
      </c>
      <c r="AU443" s="30"/>
      <c r="AV443" s="31"/>
      <c r="AW443" s="31" t="s">
        <v>59</v>
      </c>
      <c r="AX443" s="2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</row>
    <row r="444" spans="1:74" ht="28.5" x14ac:dyDescent="0.25">
      <c r="A444" s="25">
        <v>57</v>
      </c>
      <c r="B444" s="23" t="s">
        <v>1204</v>
      </c>
      <c r="C444" s="23" t="s">
        <v>1193</v>
      </c>
      <c r="D444" s="26" t="s">
        <v>1205</v>
      </c>
      <c r="E444" s="23">
        <v>13</v>
      </c>
      <c r="F444" s="23" t="s">
        <v>131</v>
      </c>
      <c r="G444" s="23">
        <f>VLOOKUP(C444,[2]Sheet2!$T$3:$V$92,3,FALSE)</f>
        <v>67</v>
      </c>
      <c r="H444" s="23" t="s">
        <v>68</v>
      </c>
      <c r="I444" s="23" t="s">
        <v>436</v>
      </c>
      <c r="J444" s="23">
        <v>1</v>
      </c>
      <c r="K444" s="6">
        <v>0.75</v>
      </c>
      <c r="L444" s="23" t="s">
        <v>1206</v>
      </c>
      <c r="M444" s="23"/>
      <c r="N444" s="23" t="s">
        <v>1207</v>
      </c>
      <c r="O444" s="23" t="str">
        <f t="shared" si="81"/>
        <v>0 Years, 2 Months, 3 Days</v>
      </c>
      <c r="P444" s="23"/>
      <c r="Q444" s="23"/>
      <c r="R444" s="27">
        <v>44704</v>
      </c>
      <c r="S444" s="27">
        <v>45958</v>
      </c>
      <c r="T444" s="23">
        <v>50699255</v>
      </c>
      <c r="U444" s="28">
        <v>4130424475321</v>
      </c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 t="s">
        <v>42</v>
      </c>
      <c r="AN444" s="32" t="s">
        <v>58</v>
      </c>
      <c r="AO444" s="39" t="s">
        <v>58</v>
      </c>
      <c r="AP444" s="32" t="s">
        <v>58</v>
      </c>
      <c r="AQ444" s="32" t="s">
        <v>58</v>
      </c>
      <c r="AR444" s="23"/>
      <c r="AS444" s="23" t="str">
        <f>IF(AND(AN444="Yes", AO444="Yes"), "Yes", IF(AND(AN444="", AO444=""), "No", "Incomplete"))</f>
        <v>Yes</v>
      </c>
      <c r="AT444" s="29" t="str">
        <f>IF(AM444="Matric",IF(AN444="Yes","Yes",IF(AN444="Under Process", "Under Process","No")),IF(AM444="Inter",IF(AO444="Yes","Yes",IF(AO444="Under Process", "Under Process","No")),IF(AM444="Bachelor",IF(AP444="Yes","Yes",IF(AP444="Under Process", "Under Process","No")),IF(AM444="Master",IF(AQ444="Yes","Yes",IF(AQ444="Under Process", "Under Process","No")),IF(AM444="Vacant",IF([2]Extra!B51="Yes","No","Vacant"),IF(AM444="NA",IF([2]Extra!B51="Yes","No","NA"),"No"))))))</f>
        <v>Yes</v>
      </c>
      <c r="AU444" s="30"/>
      <c r="AV444" s="31"/>
      <c r="AW444" s="31"/>
      <c r="AX444" s="2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</row>
    <row r="445" spans="1:74" x14ac:dyDescent="0.25">
      <c r="A445" s="25">
        <v>442</v>
      </c>
      <c r="B445" s="23" t="s">
        <v>1208</v>
      </c>
      <c r="C445" s="23" t="s">
        <v>1193</v>
      </c>
      <c r="D445" s="26" t="s">
        <v>1209</v>
      </c>
      <c r="E445" s="23">
        <v>11</v>
      </c>
      <c r="F445" s="23" t="s">
        <v>138</v>
      </c>
      <c r="G445" s="23">
        <f>VLOOKUP(C445,[2]Sheet2!$T$3:$V$92,3,FALSE)</f>
        <v>67</v>
      </c>
      <c r="H445" s="23" t="s">
        <v>68</v>
      </c>
      <c r="I445" s="23" t="s">
        <v>436</v>
      </c>
      <c r="J445" s="23"/>
      <c r="K445" s="6">
        <v>0</v>
      </c>
      <c r="L445" s="23" t="s">
        <v>890</v>
      </c>
      <c r="M445" s="23"/>
      <c r="N445" s="23"/>
      <c r="O445" s="23" t="e">
        <f t="shared" si="81"/>
        <v>#VALUE!</v>
      </c>
      <c r="P445" s="23"/>
      <c r="Q445" s="23"/>
      <c r="R445" s="27"/>
      <c r="S445" s="27"/>
      <c r="T445" s="23">
        <v>10621169</v>
      </c>
      <c r="U445" s="28">
        <v>4130765580497</v>
      </c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 t="s">
        <v>42</v>
      </c>
      <c r="AN445" s="23" t="s">
        <v>58</v>
      </c>
      <c r="AO445" s="23"/>
      <c r="AP445" s="23"/>
      <c r="AQ445" s="32" t="s">
        <v>58</v>
      </c>
      <c r="AR445" s="23"/>
      <c r="AS445" s="23" t="str">
        <f t="shared" ref="AS445:AS451" si="82">IF(AND(AN445="Yes"), "Yes", IF(AND(AN445=""), "No", "Incomplete"))</f>
        <v>Yes</v>
      </c>
      <c r="AT445" s="29" t="str">
        <f t="shared" ref="AT445:AT451" si="83">IF(AM445="Matric",IF(AN445="Yes","Yes",IF(AN445="Under Process", "Under Process","No")),IF(AM445="Inter",IF(AO445="Yes","Yes",IF(AO445="Under Process", "Under Process","No")),IF(AM445="Bachelor",IF(AP445="Yes","Yes",IF(AP445="Under Process", "Under Process","No")),IF(AM445="Master",IF(AQ445="Yes","Yes",IF(AQ445="Under Process", "Under Process","No")),IF(AM445="Vacant",IF(D453="Yes","No","Vacant"),IF(AM445="NA",IF(D453="Yes","No","NA"),"No"))))))</f>
        <v>Yes</v>
      </c>
      <c r="AU445" s="30"/>
      <c r="AV445" s="31"/>
      <c r="AW445" s="31" t="s">
        <v>59</v>
      </c>
      <c r="AX445" s="2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</row>
    <row r="446" spans="1:74" ht="28.5" x14ac:dyDescent="0.25">
      <c r="A446" s="25">
        <v>441</v>
      </c>
      <c r="B446" s="23" t="s">
        <v>1210</v>
      </c>
      <c r="C446" s="23" t="s">
        <v>1193</v>
      </c>
      <c r="D446" s="26" t="s">
        <v>1211</v>
      </c>
      <c r="E446" s="23">
        <v>11</v>
      </c>
      <c r="F446" s="23" t="s">
        <v>138</v>
      </c>
      <c r="G446" s="23">
        <f>VLOOKUP(C446,[2]Sheet2!$T$3:$V$92,3,FALSE)</f>
        <v>67</v>
      </c>
      <c r="H446" s="23" t="s">
        <v>68</v>
      </c>
      <c r="I446" s="23" t="s">
        <v>436</v>
      </c>
      <c r="J446" s="23">
        <v>3</v>
      </c>
      <c r="K446" s="6">
        <v>0.9</v>
      </c>
      <c r="L446" s="23" t="s">
        <v>574</v>
      </c>
      <c r="M446" s="23"/>
      <c r="N446" s="23"/>
      <c r="O446" s="23" t="e">
        <f t="shared" si="81"/>
        <v>#VALUE!</v>
      </c>
      <c r="P446" s="23"/>
      <c r="Q446" s="23"/>
      <c r="R446" s="27"/>
      <c r="S446" s="27"/>
      <c r="T446" s="23">
        <v>50701617</v>
      </c>
      <c r="U446" s="28">
        <v>4220182318085</v>
      </c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 t="s">
        <v>41</v>
      </c>
      <c r="AN446" s="23"/>
      <c r="AO446" s="23" t="s">
        <v>58</v>
      </c>
      <c r="AP446" s="32" t="s">
        <v>58</v>
      </c>
      <c r="AQ446" s="23"/>
      <c r="AR446" s="23" t="s">
        <v>1212</v>
      </c>
      <c r="AS446" s="23" t="str">
        <f t="shared" si="82"/>
        <v>No</v>
      </c>
      <c r="AT446" s="29" t="str">
        <f t="shared" si="83"/>
        <v>Yes</v>
      </c>
      <c r="AU446" s="30"/>
      <c r="AV446" s="31"/>
      <c r="AW446" s="31" t="s">
        <v>59</v>
      </c>
      <c r="AX446" s="2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</row>
    <row r="447" spans="1:74" x14ac:dyDescent="0.25">
      <c r="A447" s="25">
        <v>443</v>
      </c>
      <c r="B447" s="23" t="s">
        <v>1213</v>
      </c>
      <c r="C447" s="23" t="s">
        <v>1193</v>
      </c>
      <c r="D447" s="26" t="s">
        <v>1214</v>
      </c>
      <c r="E447" s="23">
        <v>7</v>
      </c>
      <c r="F447" s="23" t="s">
        <v>264</v>
      </c>
      <c r="G447" s="23">
        <f>VLOOKUP(C447,[2]Sheet2!$T$3:$V$92,3,FALSE)</f>
        <v>67</v>
      </c>
      <c r="H447" s="23" t="s">
        <v>68</v>
      </c>
      <c r="I447" s="23" t="s">
        <v>436</v>
      </c>
      <c r="J447" s="23"/>
      <c r="K447" s="6">
        <v>0</v>
      </c>
      <c r="L447" s="23"/>
      <c r="M447" s="23"/>
      <c r="N447" s="23"/>
      <c r="O447" s="23" t="e">
        <f t="shared" si="81"/>
        <v>#VALUE!</v>
      </c>
      <c r="P447" s="23"/>
      <c r="Q447" s="23"/>
      <c r="R447" s="27"/>
      <c r="S447" s="27"/>
      <c r="T447" s="23">
        <v>50551104</v>
      </c>
      <c r="U447" s="28">
        <v>4130443706427</v>
      </c>
      <c r="V447" s="23">
        <v>34029</v>
      </c>
      <c r="W447" s="23" t="s">
        <v>337</v>
      </c>
      <c r="X447" s="23" t="s">
        <v>338</v>
      </c>
      <c r="Y447" s="23" t="s">
        <v>258</v>
      </c>
      <c r="Z447" s="23">
        <v>43874</v>
      </c>
      <c r="AA447" s="23">
        <v>43874</v>
      </c>
      <c r="AB447" s="23" t="s">
        <v>339</v>
      </c>
      <c r="AC447" s="23" t="s">
        <v>189</v>
      </c>
      <c r="AD447" s="23" t="s">
        <v>1215</v>
      </c>
      <c r="AE447" s="23" t="s">
        <v>1216</v>
      </c>
      <c r="AF447" s="23"/>
      <c r="AG447" s="23"/>
      <c r="AH447" s="23"/>
      <c r="AI447" s="23">
        <v>44230</v>
      </c>
      <c r="AJ447" s="23" t="s">
        <v>1217</v>
      </c>
      <c r="AK447" s="23" t="s">
        <v>1218</v>
      </c>
      <c r="AL447" s="23">
        <v>44927</v>
      </c>
      <c r="AM447" s="23" t="s">
        <v>41</v>
      </c>
      <c r="AN447" s="32" t="s">
        <v>58</v>
      </c>
      <c r="AO447" s="23"/>
      <c r="AP447" s="32" t="s">
        <v>58</v>
      </c>
      <c r="AQ447" s="23"/>
      <c r="AR447" s="23"/>
      <c r="AS447" s="23" t="str">
        <f t="shared" si="82"/>
        <v>Yes</v>
      </c>
      <c r="AT447" s="29" t="str">
        <f t="shared" si="83"/>
        <v>Yes</v>
      </c>
      <c r="AU447" s="30"/>
      <c r="AV447" s="31" t="s">
        <v>64</v>
      </c>
      <c r="AW447" s="31" t="s">
        <v>59</v>
      </c>
      <c r="AX447" s="2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</row>
    <row r="448" spans="1:74" x14ac:dyDescent="0.25">
      <c r="A448" s="25">
        <v>444</v>
      </c>
      <c r="B448" s="23" t="s">
        <v>1219</v>
      </c>
      <c r="C448" s="23" t="s">
        <v>1193</v>
      </c>
      <c r="D448" s="26" t="s">
        <v>1220</v>
      </c>
      <c r="E448" s="23">
        <v>5</v>
      </c>
      <c r="F448" s="23" t="s">
        <v>71</v>
      </c>
      <c r="G448" s="23">
        <f>VLOOKUP(C448,[2]Sheet2!$T$3:$V$92,3,FALSE)</f>
        <v>67</v>
      </c>
      <c r="H448" s="23" t="s">
        <v>68</v>
      </c>
      <c r="I448" s="23" t="s">
        <v>436</v>
      </c>
      <c r="J448" s="23"/>
      <c r="K448" s="6">
        <v>0</v>
      </c>
      <c r="L448" s="23" t="s">
        <v>890</v>
      </c>
      <c r="M448" s="23"/>
      <c r="N448" s="23"/>
      <c r="O448" s="23" t="e">
        <f t="shared" si="81"/>
        <v>#VALUE!</v>
      </c>
      <c r="P448" s="23"/>
      <c r="Q448" s="23"/>
      <c r="R448" s="27"/>
      <c r="S448" s="27"/>
      <c r="T448" s="23">
        <v>10444458</v>
      </c>
      <c r="U448" s="28">
        <v>4130799421595</v>
      </c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 t="s">
        <v>41</v>
      </c>
      <c r="AN448" s="23"/>
      <c r="AO448" s="32" t="s">
        <v>58</v>
      </c>
      <c r="AP448" s="32" t="s">
        <v>58</v>
      </c>
      <c r="AQ448" s="23"/>
      <c r="AR448" s="23"/>
      <c r="AS448" s="23" t="str">
        <f t="shared" si="82"/>
        <v>No</v>
      </c>
      <c r="AT448" s="29" t="str">
        <f t="shared" si="83"/>
        <v>Yes</v>
      </c>
      <c r="AU448" s="30"/>
      <c r="AV448" s="31"/>
      <c r="AW448" s="31" t="s">
        <v>59</v>
      </c>
      <c r="AX448" s="2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</row>
    <row r="449" spans="1:74" x14ac:dyDescent="0.25">
      <c r="A449" s="25">
        <v>445</v>
      </c>
      <c r="B449" s="23" t="s">
        <v>1221</v>
      </c>
      <c r="C449" s="23" t="s">
        <v>1193</v>
      </c>
      <c r="D449" s="26" t="s">
        <v>1222</v>
      </c>
      <c r="E449" s="23">
        <v>4</v>
      </c>
      <c r="F449" s="23" t="s">
        <v>161</v>
      </c>
      <c r="G449" s="23">
        <f>VLOOKUP(C449,[2]Sheet2!$T$3:$V$92,3,FALSE)</f>
        <v>67</v>
      </c>
      <c r="H449" s="23" t="s">
        <v>68</v>
      </c>
      <c r="I449" s="23" t="s">
        <v>436</v>
      </c>
      <c r="J449" s="23">
        <v>3</v>
      </c>
      <c r="K449" s="6">
        <v>0.8</v>
      </c>
      <c r="L449" s="23" t="s">
        <v>574</v>
      </c>
      <c r="M449" s="43" t="s">
        <v>1158</v>
      </c>
      <c r="N449" s="43"/>
      <c r="O449" s="23" t="e">
        <f t="shared" si="81"/>
        <v>#VALUE!</v>
      </c>
      <c r="P449" s="43"/>
      <c r="Q449" s="43"/>
      <c r="R449" s="44">
        <v>41456</v>
      </c>
      <c r="S449" s="44">
        <v>41456</v>
      </c>
      <c r="T449" s="23">
        <v>50184375</v>
      </c>
      <c r="U449" s="28">
        <v>4130782700407</v>
      </c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 t="s">
        <v>73</v>
      </c>
      <c r="AN449" s="23"/>
      <c r="AO449" s="23"/>
      <c r="AP449" s="23"/>
      <c r="AQ449" s="23"/>
      <c r="AR449" s="23"/>
      <c r="AS449" s="23" t="str">
        <f t="shared" si="82"/>
        <v>No</v>
      </c>
      <c r="AT449" s="29" t="str">
        <f t="shared" si="83"/>
        <v>NA</v>
      </c>
      <c r="AU449" s="30"/>
      <c r="AV449" s="31"/>
      <c r="AW449" s="31" t="s">
        <v>59</v>
      </c>
      <c r="AX449" s="2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</row>
    <row r="450" spans="1:74" x14ac:dyDescent="0.25">
      <c r="A450" s="25">
        <v>446</v>
      </c>
      <c r="B450" s="23" t="s">
        <v>1223</v>
      </c>
      <c r="C450" s="23" t="s">
        <v>1193</v>
      </c>
      <c r="D450" s="26" t="s">
        <v>1224</v>
      </c>
      <c r="E450" s="23">
        <v>4</v>
      </c>
      <c r="F450" s="23" t="s">
        <v>161</v>
      </c>
      <c r="G450" s="23">
        <f>VLOOKUP(C450,[2]Sheet2!$T$3:$V$92,3,FALSE)</f>
        <v>67</v>
      </c>
      <c r="H450" s="23" t="s">
        <v>68</v>
      </c>
      <c r="I450" s="23" t="s">
        <v>436</v>
      </c>
      <c r="J450" s="23"/>
      <c r="K450" s="6">
        <v>0</v>
      </c>
      <c r="L450" s="23" t="s">
        <v>890</v>
      </c>
      <c r="M450" s="43" t="s">
        <v>1158</v>
      </c>
      <c r="N450" s="43"/>
      <c r="O450" s="23" t="e">
        <f t="shared" si="81"/>
        <v>#VALUE!</v>
      </c>
      <c r="P450" s="43"/>
      <c r="Q450" s="43"/>
      <c r="R450" s="44">
        <v>41456</v>
      </c>
      <c r="S450" s="44">
        <v>45404</v>
      </c>
      <c r="T450" s="23">
        <v>50187914</v>
      </c>
      <c r="U450" s="28">
        <v>4170305929393</v>
      </c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 t="s">
        <v>73</v>
      </c>
      <c r="AN450" s="23"/>
      <c r="AO450" s="23"/>
      <c r="AP450" s="23"/>
      <c r="AQ450" s="23"/>
      <c r="AR450" s="23"/>
      <c r="AS450" s="23" t="str">
        <f t="shared" si="82"/>
        <v>No</v>
      </c>
      <c r="AT450" s="29" t="str">
        <f t="shared" si="83"/>
        <v>NA</v>
      </c>
      <c r="AU450" s="30"/>
      <c r="AV450" s="31"/>
      <c r="AW450" s="31" t="s">
        <v>59</v>
      </c>
      <c r="AX450" s="2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</row>
    <row r="451" spans="1:74" x14ac:dyDescent="0.25">
      <c r="A451" s="25">
        <v>447</v>
      </c>
      <c r="B451" s="23" t="s">
        <v>1225</v>
      </c>
      <c r="C451" s="23" t="s">
        <v>1193</v>
      </c>
      <c r="D451" s="26" t="s">
        <v>1226</v>
      </c>
      <c r="E451" s="23">
        <v>4</v>
      </c>
      <c r="F451" s="23" t="s">
        <v>71</v>
      </c>
      <c r="G451" s="23">
        <f>VLOOKUP(C451,[2]Sheet2!$T$3:$V$92,3,FALSE)</f>
        <v>67</v>
      </c>
      <c r="H451" s="23" t="s">
        <v>68</v>
      </c>
      <c r="I451" s="23" t="s">
        <v>436</v>
      </c>
      <c r="J451" s="23">
        <v>3</v>
      </c>
      <c r="K451" s="6">
        <v>0.5</v>
      </c>
      <c r="L451" s="23" t="s">
        <v>564</v>
      </c>
      <c r="M451" s="23"/>
      <c r="N451" s="23"/>
      <c r="O451" s="23" t="e">
        <f t="shared" si="81"/>
        <v>#VALUE!</v>
      </c>
      <c r="P451" s="23"/>
      <c r="Q451" s="23"/>
      <c r="R451" s="27"/>
      <c r="S451" s="27"/>
      <c r="T451" s="23">
        <v>50237242</v>
      </c>
      <c r="U451" s="28">
        <v>4130339236767</v>
      </c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 t="s">
        <v>39</v>
      </c>
      <c r="AN451" s="32" t="s">
        <v>58</v>
      </c>
      <c r="AO451" s="23"/>
      <c r="AP451" s="23"/>
      <c r="AQ451" s="23"/>
      <c r="AR451" s="23"/>
      <c r="AS451" s="23" t="str">
        <f t="shared" si="82"/>
        <v>Yes</v>
      </c>
      <c r="AT451" s="29" t="str">
        <f t="shared" si="83"/>
        <v>Yes</v>
      </c>
      <c r="AU451" s="30"/>
      <c r="AV451" s="31"/>
      <c r="AW451" s="31" t="s">
        <v>59</v>
      </c>
      <c r="AX451" s="2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</row>
    <row r="452" spans="1:74" x14ac:dyDescent="0.25">
      <c r="A452" s="25">
        <v>448</v>
      </c>
      <c r="B452" s="23" t="s">
        <v>1227</v>
      </c>
      <c r="C452" s="23" t="s">
        <v>1228</v>
      </c>
      <c r="D452" s="45" t="s">
        <v>1229</v>
      </c>
      <c r="E452" s="23">
        <v>18</v>
      </c>
      <c r="F452" s="23" t="s">
        <v>1230</v>
      </c>
      <c r="G452" s="23">
        <f>VLOOKUP(C452,[2]Sheet2!$T$3:$V$92,3,FALSE)</f>
        <v>68</v>
      </c>
      <c r="H452" s="23" t="s">
        <v>54</v>
      </c>
      <c r="I452" s="23" t="s">
        <v>436</v>
      </c>
      <c r="J452" s="23"/>
      <c r="L452" s="23"/>
      <c r="M452" s="23"/>
      <c r="N452" s="23"/>
      <c r="O452" s="23" t="str">
        <f>IF(ISNUMBER(SEARCH("to", N452)),
_xlfn.LET(
    _xlpm.text_n3, N452,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452" s="23"/>
      <c r="Q452" s="23"/>
      <c r="R452" s="27"/>
      <c r="S452" s="27"/>
      <c r="T452" s="23">
        <v>82472</v>
      </c>
      <c r="U452" s="28">
        <v>6110133270731</v>
      </c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 t="s">
        <v>42</v>
      </c>
      <c r="AN452" s="32" t="s">
        <v>58</v>
      </c>
      <c r="AO452" s="32" t="s">
        <v>58</v>
      </c>
      <c r="AP452" s="23" t="s">
        <v>121</v>
      </c>
      <c r="AQ452" s="32" t="s">
        <v>58</v>
      </c>
      <c r="AR452" s="23"/>
      <c r="AS452" s="23" t="str">
        <f>IF(AND(AN452="Yes", AO452="Yes", AP452="Yes"), "Yes", IF(AND(AN452="", AO452="", AP452=""), "No", "Incomplete"))</f>
        <v>Incomplete</v>
      </c>
      <c r="AT452" s="29" t="str">
        <f>IF(AM452="Matric",IF(AN452="Yes","Yes",IF(AN452="Under Process", "Under Process","No")),IF(AM452="Inter",IF(AO452="Yes","Yes",IF(AO452="Under Process", "Under Process","No")),IF(AM452="Bachelor",IF(AP452="Yes","Yes",IF(AP452="Under Process", "Under Process","No")),IF(AM452="Master",IF(AQ452="Yes","Yes",IF(AQ452="Under Process", "Under Process","No")),IF(AM452="Vacant",IF(#REF!="Yes","No","Vacant"),IF(AM452="NA",IF(#REF!="Yes","No","NA"),"No"))))))</f>
        <v>Yes</v>
      </c>
      <c r="AU452" s="30"/>
      <c r="AV452" s="31"/>
      <c r="AW452" s="31" t="s">
        <v>59</v>
      </c>
      <c r="AX452" s="2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</row>
    <row r="453" spans="1:74" x14ac:dyDescent="0.25">
      <c r="A453" s="25">
        <v>449</v>
      </c>
      <c r="B453" s="23" t="s">
        <v>1231</v>
      </c>
      <c r="C453" s="23" t="s">
        <v>1228</v>
      </c>
      <c r="D453" s="26" t="s">
        <v>66</v>
      </c>
      <c r="E453" s="23">
        <v>17</v>
      </c>
      <c r="F453" s="23" t="s">
        <v>586</v>
      </c>
      <c r="G453" s="23">
        <f>VLOOKUP(C453,[2]Sheet2!$T$3:$V$92,3,FALSE)</f>
        <v>68</v>
      </c>
      <c r="H453" s="23" t="s">
        <v>54</v>
      </c>
      <c r="I453" s="23" t="s">
        <v>436</v>
      </c>
      <c r="J453" s="23"/>
      <c r="L453" s="23"/>
      <c r="M453" s="23"/>
      <c r="N453" s="23"/>
      <c r="O453" s="23" t="str">
        <f>IF(ISNUMBER(SEARCH("to", N453)),
_xlfn.LET(
    _xlpm.first_line, LEFT(N453, IFERROR(SEARCH(CHAR(10), N453)-1, LEN(N453))),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453" s="23"/>
      <c r="Q453" s="23"/>
      <c r="R453" s="27"/>
      <c r="S453" s="27"/>
      <c r="T453" s="23"/>
      <c r="U453" s="28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 t="s">
        <v>66</v>
      </c>
      <c r="AN453" s="23"/>
      <c r="AO453" s="23"/>
      <c r="AP453" s="23"/>
      <c r="AQ453" s="23"/>
      <c r="AR453" s="23"/>
      <c r="AS453" s="23" t="str">
        <f>IF(AND(AN453="Yes", AO453="Yes", AP453="Yes"), "Yes", IF(AND(AN453="", AO453="", AP453=""), "No", "Incomplete"))</f>
        <v>No</v>
      </c>
      <c r="AT453" s="29" t="str">
        <f t="shared" ref="AT453:AT499" si="84">IF(AM453="Matric",IF(AN453="Yes","Yes",IF(AN453="Under Process", "Under Process","No")),IF(AM453="Inter",IF(AO453="Yes","Yes",IF(AO453="Under Process", "Under Process","No")),IF(AM453="Bachelor",IF(AP453="Yes","Yes",IF(AP453="Under Process", "Under Process","No")),IF(AM453="Master",IF(AQ453="Yes","Yes",IF(AQ453="Under Process", "Under Process","No")),IF(AM453="Vacant",IF(D461="Yes","No","Vacant"),IF(AM453="NA",IF(D461="Yes","No","NA"),"No"))))))</f>
        <v>Vacant</v>
      </c>
      <c r="AU453" s="30"/>
      <c r="AV453" s="31"/>
      <c r="AW453" s="31"/>
      <c r="AX453" s="2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</row>
    <row r="454" spans="1:74" x14ac:dyDescent="0.25">
      <c r="A454" s="25">
        <v>450</v>
      </c>
      <c r="B454" s="23" t="s">
        <v>1232</v>
      </c>
      <c r="C454" s="23" t="s">
        <v>1228</v>
      </c>
      <c r="D454" s="26" t="s">
        <v>1233</v>
      </c>
      <c r="E454" s="23">
        <v>16</v>
      </c>
      <c r="F454" s="23" t="s">
        <v>67</v>
      </c>
      <c r="G454" s="23">
        <f>VLOOKUP(C454,[2]Sheet2!$T$3:$V$92,3,FALSE)</f>
        <v>68</v>
      </c>
      <c r="H454" s="23" t="s">
        <v>68</v>
      </c>
      <c r="I454" s="23" t="s">
        <v>436</v>
      </c>
      <c r="J454" s="23"/>
      <c r="K454" s="6">
        <v>0</v>
      </c>
      <c r="L454" s="23" t="s">
        <v>890</v>
      </c>
      <c r="M454" s="23"/>
      <c r="N454" s="23"/>
      <c r="O454" s="23" t="e">
        <f t="shared" ref="O454:O464" si="85">IF(DATEVALUE(MID(N454,15,10))-DATEVALUE(LEFT(N454,10))+1&gt;=365,"1 Year",
DATEDIF(DATEVALUE(LEFT(N454,10)),DATEVALUE(MID(N454,15,10)),"Y")&amp;" Years, "&amp;DATEDIF(DATEVALUE(LEFT(N454,10)),DATEVALUE(MID(N454,15,10)),"YM")&amp;" Months, "&amp;DATEDIF(DATEVALUE(LEFT(N454,10)),DATEVALUE(MID(N454,15,10)),"MD")&amp;" Days")</f>
        <v>#VALUE!</v>
      </c>
      <c r="P454" s="23"/>
      <c r="Q454" s="23"/>
      <c r="R454" s="27"/>
      <c r="S454" s="27"/>
      <c r="T454" s="23">
        <v>10643530</v>
      </c>
      <c r="U454" s="28">
        <v>4130374229519</v>
      </c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 t="s">
        <v>40</v>
      </c>
      <c r="AN454" s="23"/>
      <c r="AO454" s="32" t="s">
        <v>58</v>
      </c>
      <c r="AP454" s="23"/>
      <c r="AQ454" s="23"/>
      <c r="AR454" s="23"/>
      <c r="AS454" s="23" t="str">
        <f>IF(AND(AN454="Yes", AO454="Yes", AP454="Yes"), "Yes", IF(AND(AN454="", AO454="", AP454=""), "No", "Incomplete"))</f>
        <v>Incomplete</v>
      </c>
      <c r="AT454" s="29" t="str">
        <f t="shared" si="84"/>
        <v>Yes</v>
      </c>
      <c r="AU454" s="30"/>
      <c r="AV454" s="31"/>
      <c r="AW454" s="31" t="s">
        <v>59</v>
      </c>
      <c r="AX454" s="2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</row>
    <row r="455" spans="1:74" x14ac:dyDescent="0.25">
      <c r="A455" s="25">
        <v>451</v>
      </c>
      <c r="B455" s="23" t="s">
        <v>1234</v>
      </c>
      <c r="C455" s="23" t="s">
        <v>1228</v>
      </c>
      <c r="D455" s="26" t="s">
        <v>1235</v>
      </c>
      <c r="E455" s="23">
        <v>15</v>
      </c>
      <c r="F455" s="23" t="s">
        <v>108</v>
      </c>
      <c r="G455" s="23">
        <f>VLOOKUP(C455,[2]Sheet2!$T$3:$V$92,3,FALSE)</f>
        <v>68</v>
      </c>
      <c r="H455" s="23" t="s">
        <v>68</v>
      </c>
      <c r="I455" s="23" t="s">
        <v>436</v>
      </c>
      <c r="J455" s="23">
        <v>3</v>
      </c>
      <c r="K455" s="6">
        <v>0.8</v>
      </c>
      <c r="L455" s="23" t="s">
        <v>574</v>
      </c>
      <c r="M455" s="23"/>
      <c r="N455" s="23"/>
      <c r="O455" s="23" t="e">
        <f t="shared" si="85"/>
        <v>#VALUE!</v>
      </c>
      <c r="P455" s="23"/>
      <c r="Q455" s="23"/>
      <c r="R455" s="27"/>
      <c r="S455" s="27"/>
      <c r="T455" s="23">
        <v>50174233</v>
      </c>
      <c r="U455" s="28">
        <v>4130804015797</v>
      </c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 t="s">
        <v>42</v>
      </c>
      <c r="AN455" s="32" t="s">
        <v>58</v>
      </c>
      <c r="AO455" s="32" t="s">
        <v>58</v>
      </c>
      <c r="AP455" s="32" t="s">
        <v>58</v>
      </c>
      <c r="AQ455" s="32" t="s">
        <v>58</v>
      </c>
      <c r="AR455" s="23"/>
      <c r="AS455" s="23" t="str">
        <f>IF(AND(AN455="Yes", AO455="Yes", AP455="Yes"), "Yes", IF(AND(AN455="", AO455="", AP455=""), "No", "Incomplete"))</f>
        <v>Yes</v>
      </c>
      <c r="AT455" s="29" t="str">
        <f t="shared" si="84"/>
        <v>Yes</v>
      </c>
      <c r="AU455" s="30"/>
      <c r="AV455" s="31"/>
      <c r="AW455" s="31" t="s">
        <v>59</v>
      </c>
      <c r="AX455" s="2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</row>
    <row r="456" spans="1:74" x14ac:dyDescent="0.25">
      <c r="A456" s="25">
        <v>452</v>
      </c>
      <c r="B456" s="23" t="s">
        <v>1236</v>
      </c>
      <c r="C456" s="23" t="s">
        <v>1228</v>
      </c>
      <c r="D456" s="26" t="s">
        <v>1237</v>
      </c>
      <c r="E456" s="23">
        <v>15</v>
      </c>
      <c r="F456" s="23" t="s">
        <v>108</v>
      </c>
      <c r="G456" s="23">
        <f>VLOOKUP(C456,[2]Sheet2!$T$3:$V$92,3,FALSE)</f>
        <v>68</v>
      </c>
      <c r="H456" s="23" t="s">
        <v>68</v>
      </c>
      <c r="I456" s="23" t="s">
        <v>436</v>
      </c>
      <c r="J456" s="23"/>
      <c r="K456" s="6">
        <v>0</v>
      </c>
      <c r="L456" s="23" t="s">
        <v>890</v>
      </c>
      <c r="M456" s="23"/>
      <c r="N456" s="23"/>
      <c r="O456" s="23" t="e">
        <f t="shared" si="85"/>
        <v>#VALUE!</v>
      </c>
      <c r="P456" s="23"/>
      <c r="Q456" s="23"/>
      <c r="R456" s="27"/>
      <c r="S456" s="27"/>
      <c r="T456" s="23">
        <v>50679931</v>
      </c>
      <c r="U456" s="28">
        <v>4160106085083</v>
      </c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 t="s">
        <v>42</v>
      </c>
      <c r="AN456" s="23" t="s">
        <v>58</v>
      </c>
      <c r="AO456" s="23" t="s">
        <v>58</v>
      </c>
      <c r="AP456" s="23" t="s">
        <v>58</v>
      </c>
      <c r="AQ456" s="32" t="s">
        <v>58</v>
      </c>
      <c r="AR456" s="23"/>
      <c r="AS456" s="23" t="str">
        <f>IF(AND(AN456="Yes", AO456="Yes", AP456="Yes"), "Yes", IF(AND(AN456="", AO456="", AP456=""), "No", "Incomplete"))</f>
        <v>Yes</v>
      </c>
      <c r="AT456" s="29" t="str">
        <f t="shared" si="84"/>
        <v>Yes</v>
      </c>
      <c r="AU456" s="30"/>
      <c r="AV456" s="31"/>
      <c r="AW456" s="31" t="s">
        <v>59</v>
      </c>
      <c r="AX456" s="2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</row>
    <row r="457" spans="1:74" x14ac:dyDescent="0.25">
      <c r="A457" s="25">
        <v>539</v>
      </c>
      <c r="B457" s="23" t="s">
        <v>1238</v>
      </c>
      <c r="C457" s="23" t="s">
        <v>1228</v>
      </c>
      <c r="D457" s="26" t="s">
        <v>1239</v>
      </c>
      <c r="E457" s="23">
        <v>13</v>
      </c>
      <c r="F457" s="23" t="s">
        <v>131</v>
      </c>
      <c r="G457" s="23">
        <f>VLOOKUP(C457,[2]Sheet2!$T$3:$V$92,3,FALSE)</f>
        <v>68</v>
      </c>
      <c r="H457" s="23" t="s">
        <v>68</v>
      </c>
      <c r="I457" s="23" t="s">
        <v>436</v>
      </c>
      <c r="J457" s="23"/>
      <c r="K457" s="6">
        <v>0</v>
      </c>
      <c r="L457" s="23"/>
      <c r="M457" s="23"/>
      <c r="N457" s="23"/>
      <c r="O457" s="23" t="e">
        <f t="shared" si="85"/>
        <v>#VALUE!</v>
      </c>
      <c r="P457" s="23"/>
      <c r="Q457" s="23"/>
      <c r="R457" s="27">
        <v>45959</v>
      </c>
      <c r="S457" s="27">
        <v>45959</v>
      </c>
      <c r="T457" s="23"/>
      <c r="U457" s="28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 t="s">
        <v>66</v>
      </c>
      <c r="AN457" s="32" t="s">
        <v>58</v>
      </c>
      <c r="AO457" s="32" t="s">
        <v>58</v>
      </c>
      <c r="AP457" s="23"/>
      <c r="AQ457" s="23"/>
      <c r="AR457" s="23"/>
      <c r="AS457" s="23" t="str">
        <f>IF(AND(AN457="Yes", AO457="Yes"), "Yes", IF(AND(AN457="", AO457=""), "No", "Incomplete"))</f>
        <v>Yes</v>
      </c>
      <c r="AT457" s="29" t="str">
        <f t="shared" si="84"/>
        <v>Vacant</v>
      </c>
      <c r="AU457" s="30"/>
      <c r="AV457" s="31"/>
      <c r="AW457" s="31"/>
      <c r="AX457" s="2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</row>
    <row r="458" spans="1:74" x14ac:dyDescent="0.25">
      <c r="A458" s="25">
        <v>454</v>
      </c>
      <c r="B458" s="23" t="s">
        <v>1240</v>
      </c>
      <c r="C458" s="23" t="s">
        <v>1228</v>
      </c>
      <c r="D458" s="26" t="s">
        <v>1241</v>
      </c>
      <c r="E458" s="23">
        <v>11</v>
      </c>
      <c r="F458" s="23" t="s">
        <v>138</v>
      </c>
      <c r="G458" s="23">
        <f>VLOOKUP(C458,[2]Sheet2!$T$3:$V$92,3,FALSE)</f>
        <v>68</v>
      </c>
      <c r="H458" s="23" t="s">
        <v>68</v>
      </c>
      <c r="I458" s="23" t="s">
        <v>436</v>
      </c>
      <c r="J458" s="23"/>
      <c r="K458" s="6">
        <v>0</v>
      </c>
      <c r="L458" s="23" t="s">
        <v>890</v>
      </c>
      <c r="M458" s="23"/>
      <c r="N458" s="23"/>
      <c r="O458" s="23" t="e">
        <f t="shared" si="85"/>
        <v>#VALUE!</v>
      </c>
      <c r="P458" s="23"/>
      <c r="Q458" s="23"/>
      <c r="R458" s="27"/>
      <c r="S458" s="27"/>
      <c r="T458" s="23">
        <v>10041416</v>
      </c>
      <c r="U458" s="28" t="s">
        <v>1242</v>
      </c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 t="s">
        <v>39</v>
      </c>
      <c r="AN458" s="32" t="s">
        <v>58</v>
      </c>
      <c r="AO458" s="23"/>
      <c r="AP458" s="23"/>
      <c r="AQ458" s="23"/>
      <c r="AR458" s="23"/>
      <c r="AS458" s="23" t="str">
        <f t="shared" ref="AS458:AS464" si="86">IF(AND(AN458="Yes"), "Yes", IF(AND(AN458=""), "No", "Incomplete"))</f>
        <v>Yes</v>
      </c>
      <c r="AT458" s="29" t="str">
        <f t="shared" si="84"/>
        <v>Yes</v>
      </c>
      <c r="AU458" s="30"/>
      <c r="AV458" s="31"/>
      <c r="AW458" s="31" t="s">
        <v>59</v>
      </c>
      <c r="AX458" s="2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</row>
    <row r="459" spans="1:74" x14ac:dyDescent="0.25">
      <c r="A459" s="25">
        <v>455</v>
      </c>
      <c r="B459" s="23" t="s">
        <v>1243</v>
      </c>
      <c r="C459" s="23" t="s">
        <v>1228</v>
      </c>
      <c r="D459" s="26" t="s">
        <v>1244</v>
      </c>
      <c r="E459" s="23">
        <v>11</v>
      </c>
      <c r="F459" s="23" t="s">
        <v>138</v>
      </c>
      <c r="G459" s="23">
        <f>VLOOKUP(C459,[2]Sheet2!$T$3:$V$92,3,FALSE)</f>
        <v>68</v>
      </c>
      <c r="H459" s="23" t="s">
        <v>68</v>
      </c>
      <c r="I459" s="23" t="s">
        <v>436</v>
      </c>
      <c r="J459" s="23"/>
      <c r="K459" s="6">
        <v>0</v>
      </c>
      <c r="L459" s="23"/>
      <c r="M459" s="23"/>
      <c r="N459" s="23"/>
      <c r="O459" s="23" t="e">
        <f t="shared" si="85"/>
        <v>#VALUE!</v>
      </c>
      <c r="P459" s="23"/>
      <c r="Q459" s="23"/>
      <c r="R459" s="27"/>
      <c r="S459" s="27"/>
      <c r="T459" s="23">
        <v>50679950</v>
      </c>
      <c r="U459" s="28">
        <v>4420298867299</v>
      </c>
      <c r="V459" s="23"/>
      <c r="W459" s="23" t="s">
        <v>212</v>
      </c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 t="s">
        <v>41</v>
      </c>
      <c r="AN459" s="32" t="s">
        <v>58</v>
      </c>
      <c r="AO459" s="32" t="s">
        <v>58</v>
      </c>
      <c r="AP459" s="32" t="s">
        <v>58</v>
      </c>
      <c r="AQ459" s="23"/>
      <c r="AR459" s="23"/>
      <c r="AS459" s="23" t="str">
        <f t="shared" si="86"/>
        <v>Yes</v>
      </c>
      <c r="AT459" s="29" t="str">
        <f t="shared" si="84"/>
        <v>Yes</v>
      </c>
      <c r="AU459" s="30"/>
      <c r="AV459" s="31"/>
      <c r="AW459" s="31" t="s">
        <v>59</v>
      </c>
      <c r="AX459" s="2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</row>
    <row r="460" spans="1:74" x14ac:dyDescent="0.25">
      <c r="A460" s="25">
        <v>456</v>
      </c>
      <c r="B460" s="23" t="s">
        <v>1245</v>
      </c>
      <c r="C460" s="23" t="s">
        <v>1228</v>
      </c>
      <c r="D460" s="26" t="s">
        <v>470</v>
      </c>
      <c r="E460" s="23">
        <v>7</v>
      </c>
      <c r="F460" s="23" t="s">
        <v>264</v>
      </c>
      <c r="G460" s="23">
        <f>VLOOKUP(C460,[2]Sheet2!$T$3:$V$92,3,FALSE)</f>
        <v>68</v>
      </c>
      <c r="H460" s="23" t="s">
        <v>68</v>
      </c>
      <c r="I460" s="23" t="s">
        <v>436</v>
      </c>
      <c r="J460" s="23"/>
      <c r="K460" s="6">
        <v>0.54</v>
      </c>
      <c r="L460" s="23" t="s">
        <v>376</v>
      </c>
      <c r="M460" s="23"/>
      <c r="N460" s="23"/>
      <c r="O460" s="23" t="e">
        <f t="shared" si="85"/>
        <v>#VALUE!</v>
      </c>
      <c r="P460" s="23"/>
      <c r="Q460" s="23"/>
      <c r="R460" s="27"/>
      <c r="S460" s="27"/>
      <c r="T460" s="23">
        <v>10434048</v>
      </c>
      <c r="U460" s="28">
        <v>4130366087977</v>
      </c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 t="s">
        <v>39</v>
      </c>
      <c r="AN460" s="32" t="s">
        <v>58</v>
      </c>
      <c r="AO460" s="23"/>
      <c r="AP460" s="23"/>
      <c r="AQ460" s="23"/>
      <c r="AR460" s="23"/>
      <c r="AS460" s="23" t="str">
        <f t="shared" si="86"/>
        <v>Yes</v>
      </c>
      <c r="AT460" s="29" t="str">
        <f t="shared" si="84"/>
        <v>Yes</v>
      </c>
      <c r="AU460" s="30"/>
      <c r="AV460" s="31"/>
      <c r="AW460" s="31" t="s">
        <v>59</v>
      </c>
      <c r="AX460" s="2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</row>
    <row r="461" spans="1:74" x14ac:dyDescent="0.25">
      <c r="A461" s="25">
        <v>457</v>
      </c>
      <c r="B461" s="23" t="s">
        <v>1246</v>
      </c>
      <c r="C461" s="23" t="s">
        <v>1228</v>
      </c>
      <c r="D461" s="26" t="s">
        <v>1247</v>
      </c>
      <c r="E461" s="23">
        <v>5</v>
      </c>
      <c r="F461" s="23" t="s">
        <v>71</v>
      </c>
      <c r="G461" s="23">
        <f>VLOOKUP(C461,[2]Sheet2!$T$3:$V$92,3,FALSE)</f>
        <v>68</v>
      </c>
      <c r="H461" s="23" t="s">
        <v>68</v>
      </c>
      <c r="I461" s="23" t="s">
        <v>436</v>
      </c>
      <c r="J461" s="23">
        <v>3</v>
      </c>
      <c r="K461" s="6">
        <v>0.5</v>
      </c>
      <c r="L461" s="23" t="s">
        <v>564</v>
      </c>
      <c r="M461" s="23"/>
      <c r="N461" s="23"/>
      <c r="O461" s="23" t="e">
        <f t="shared" si="85"/>
        <v>#VALUE!</v>
      </c>
      <c r="P461" s="23"/>
      <c r="Q461" s="23"/>
      <c r="R461" s="27"/>
      <c r="S461" s="27"/>
      <c r="T461" s="23">
        <v>10449180</v>
      </c>
      <c r="U461" s="28">
        <v>4130364465271</v>
      </c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 t="s">
        <v>39</v>
      </c>
      <c r="AN461" s="32" t="s">
        <v>58</v>
      </c>
      <c r="AO461" s="23"/>
      <c r="AP461" s="23"/>
      <c r="AQ461" s="23"/>
      <c r="AR461" s="23"/>
      <c r="AS461" s="23" t="str">
        <f t="shared" si="86"/>
        <v>Yes</v>
      </c>
      <c r="AT461" s="29" t="str">
        <f t="shared" si="84"/>
        <v>Yes</v>
      </c>
      <c r="AU461" s="30"/>
      <c r="AV461" s="31"/>
      <c r="AW461" s="31" t="s">
        <v>59</v>
      </c>
      <c r="AX461" s="2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</row>
    <row r="462" spans="1:74" x14ac:dyDescent="0.25">
      <c r="A462" s="25">
        <v>459</v>
      </c>
      <c r="B462" s="23" t="s">
        <v>1248</v>
      </c>
      <c r="C462" s="23" t="s">
        <v>1228</v>
      </c>
      <c r="D462" s="26" t="s">
        <v>1249</v>
      </c>
      <c r="E462" s="23">
        <v>4</v>
      </c>
      <c r="F462" s="23" t="s">
        <v>161</v>
      </c>
      <c r="G462" s="23">
        <f>VLOOKUP(C462,[2]Sheet2!$T$3:$V$92,3,FALSE)</f>
        <v>68</v>
      </c>
      <c r="H462" s="23" t="s">
        <v>68</v>
      </c>
      <c r="I462" s="23" t="s">
        <v>436</v>
      </c>
      <c r="J462" s="23"/>
      <c r="K462" s="6">
        <v>0</v>
      </c>
      <c r="L462" s="23" t="s">
        <v>890</v>
      </c>
      <c r="M462" s="43" t="s">
        <v>302</v>
      </c>
      <c r="N462" s="43"/>
      <c r="O462" s="23" t="e">
        <f t="shared" si="85"/>
        <v>#VALUE!</v>
      </c>
      <c r="P462" s="43"/>
      <c r="Q462" s="43"/>
      <c r="R462" s="44">
        <v>39692</v>
      </c>
      <c r="S462" s="44">
        <v>40665</v>
      </c>
      <c r="T462" s="23">
        <v>10445097</v>
      </c>
      <c r="U462" s="28">
        <v>4530424414427</v>
      </c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 t="s">
        <v>39</v>
      </c>
      <c r="AN462" s="32" t="s">
        <v>58</v>
      </c>
      <c r="AO462" s="23"/>
      <c r="AP462" s="23"/>
      <c r="AQ462" s="23"/>
      <c r="AR462" s="23"/>
      <c r="AS462" s="23" t="str">
        <f t="shared" si="86"/>
        <v>Yes</v>
      </c>
      <c r="AT462" s="29" t="str">
        <f t="shared" si="84"/>
        <v>Yes</v>
      </c>
      <c r="AU462" s="30"/>
      <c r="AV462" s="31"/>
      <c r="AW462" s="31" t="s">
        <v>59</v>
      </c>
      <c r="AX462" s="2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</row>
    <row r="463" spans="1:74" x14ac:dyDescent="0.25">
      <c r="A463" s="25">
        <v>460</v>
      </c>
      <c r="B463" s="23" t="s">
        <v>1250</v>
      </c>
      <c r="C463" s="23" t="s">
        <v>1228</v>
      </c>
      <c r="D463" s="26" t="s">
        <v>1251</v>
      </c>
      <c r="E463" s="23">
        <v>4</v>
      </c>
      <c r="F463" s="23" t="s">
        <v>161</v>
      </c>
      <c r="G463" s="23">
        <f>VLOOKUP(C463,[2]Sheet2!$T$3:$V$92,3,FALSE)</f>
        <v>68</v>
      </c>
      <c r="H463" s="23" t="s">
        <v>68</v>
      </c>
      <c r="I463" s="23" t="s">
        <v>436</v>
      </c>
      <c r="J463" s="23">
        <v>3</v>
      </c>
      <c r="K463" s="6">
        <v>0.7</v>
      </c>
      <c r="L463" s="23" t="s">
        <v>427</v>
      </c>
      <c r="M463" s="43" t="s">
        <v>1252</v>
      </c>
      <c r="N463" s="43"/>
      <c r="O463" s="23" t="e">
        <f t="shared" si="85"/>
        <v>#VALUE!</v>
      </c>
      <c r="P463" s="43"/>
      <c r="Q463" s="43"/>
      <c r="R463" s="44">
        <v>41456</v>
      </c>
      <c r="S463" s="44">
        <v>44502</v>
      </c>
      <c r="T463" s="23">
        <v>50185122</v>
      </c>
      <c r="U463" s="28">
        <v>4110369432409</v>
      </c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 t="s">
        <v>73</v>
      </c>
      <c r="AN463" s="23"/>
      <c r="AO463" s="23"/>
      <c r="AP463" s="23"/>
      <c r="AQ463" s="23"/>
      <c r="AR463" s="23"/>
      <c r="AS463" s="23" t="str">
        <f t="shared" si="86"/>
        <v>No</v>
      </c>
      <c r="AT463" s="29" t="str">
        <f t="shared" si="84"/>
        <v>NA</v>
      </c>
      <c r="AU463" s="30"/>
      <c r="AV463" s="31"/>
      <c r="AW463" s="31" t="s">
        <v>59</v>
      </c>
      <c r="AX463" s="2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</row>
    <row r="464" spans="1:74" x14ac:dyDescent="0.25">
      <c r="A464" s="25">
        <v>503</v>
      </c>
      <c r="B464" s="23" t="s">
        <v>1253</v>
      </c>
      <c r="C464" s="23" t="s">
        <v>1228</v>
      </c>
      <c r="D464" s="26" t="s">
        <v>66</v>
      </c>
      <c r="E464" s="23">
        <v>2</v>
      </c>
      <c r="F464" s="23" t="s">
        <v>71</v>
      </c>
      <c r="G464" s="23">
        <f>VLOOKUP(C464,[2]Sheet2!$T$3:$V$92,3,FALSE)</f>
        <v>68</v>
      </c>
      <c r="H464" s="23" t="s">
        <v>68</v>
      </c>
      <c r="I464" s="23" t="s">
        <v>436</v>
      </c>
      <c r="J464" s="23" t="e">
        <v>#N/A</v>
      </c>
      <c r="K464" s="6" t="e">
        <v>#N/A</v>
      </c>
      <c r="L464" s="23" t="e">
        <v>#N/A</v>
      </c>
      <c r="M464" s="23"/>
      <c r="N464" s="23"/>
      <c r="O464" s="23" t="e">
        <f t="shared" si="85"/>
        <v>#VALUE!</v>
      </c>
      <c r="P464" s="23"/>
      <c r="Q464" s="23"/>
      <c r="R464" s="27"/>
      <c r="S464" s="27"/>
      <c r="T464" s="23"/>
      <c r="U464" s="28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 t="s">
        <v>66</v>
      </c>
      <c r="AN464" s="23"/>
      <c r="AO464" s="23"/>
      <c r="AP464" s="23"/>
      <c r="AQ464" s="23"/>
      <c r="AR464" s="23"/>
      <c r="AS464" s="23" t="str">
        <f t="shared" si="86"/>
        <v>No</v>
      </c>
      <c r="AT464" s="29" t="str">
        <f t="shared" si="84"/>
        <v>Vacant</v>
      </c>
      <c r="AU464" s="30"/>
      <c r="AV464" s="31"/>
      <c r="AW464" s="31"/>
      <c r="AX464" s="2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</row>
    <row r="465" spans="1:74" ht="42.75" x14ac:dyDescent="0.25">
      <c r="A465" s="25">
        <v>461</v>
      </c>
      <c r="B465" s="23" t="s">
        <v>1254</v>
      </c>
      <c r="C465" s="23" t="s">
        <v>1255</v>
      </c>
      <c r="D465" s="26" t="s">
        <v>1256</v>
      </c>
      <c r="E465" s="23">
        <v>19</v>
      </c>
      <c r="F465" s="23" t="s">
        <v>555</v>
      </c>
      <c r="G465" s="23">
        <f>VLOOKUP(C465,[2]Sheet2!$T$3:$V$92,3,FALSE)</f>
        <v>69</v>
      </c>
      <c r="H465" s="23" t="s">
        <v>54</v>
      </c>
      <c r="I465" s="23" t="s">
        <v>436</v>
      </c>
      <c r="J465" s="23"/>
      <c r="L465" s="23"/>
      <c r="M465" s="23"/>
      <c r="N465" s="23" t="s">
        <v>1257</v>
      </c>
      <c r="O465" s="23" t="e">
        <f ca="1">IF(ISNUMBER(SEARCH("to", N465)),
_xlfn.LET(
    _xlpm.text_n3, N465,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465" s="23"/>
      <c r="Q465" s="23" t="s">
        <v>373</v>
      </c>
      <c r="R465" s="27"/>
      <c r="S465" s="27"/>
      <c r="T465" s="23">
        <v>10416814</v>
      </c>
      <c r="U465" s="28">
        <v>4420357297069</v>
      </c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 t="s">
        <v>42</v>
      </c>
      <c r="AN465" s="23" t="s">
        <v>58</v>
      </c>
      <c r="AO465" s="23" t="s">
        <v>58</v>
      </c>
      <c r="AP465" s="23" t="s">
        <v>58</v>
      </c>
      <c r="AQ465" s="23" t="s">
        <v>58</v>
      </c>
      <c r="AR465" s="23"/>
      <c r="AS465" s="23" t="str">
        <f t="shared" ref="AS465:AS470" si="87">IF(AND(AN465="Yes", AO465="Yes", AP465="Yes"), "Yes", IF(AND(AN465="", AO465="", AP465=""), "No", "Incomplete"))</f>
        <v>Yes</v>
      </c>
      <c r="AT465" s="29" t="str">
        <f t="shared" si="84"/>
        <v>Yes</v>
      </c>
      <c r="AU465" s="30"/>
      <c r="AV465" s="31"/>
      <c r="AW465" s="31" t="s">
        <v>59</v>
      </c>
      <c r="AX465" s="2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</row>
    <row r="466" spans="1:74" x14ac:dyDescent="0.25">
      <c r="A466" s="25">
        <v>462</v>
      </c>
      <c r="B466" s="23" t="s">
        <v>1258</v>
      </c>
      <c r="C466" s="23" t="s">
        <v>1255</v>
      </c>
      <c r="D466" s="26" t="s">
        <v>66</v>
      </c>
      <c r="E466" s="23">
        <v>18</v>
      </c>
      <c r="F466" s="23" t="s">
        <v>557</v>
      </c>
      <c r="G466" s="23">
        <f>VLOOKUP(C466,[2]Sheet2!$T$3:$V$92,3,FALSE)</f>
        <v>69</v>
      </c>
      <c r="H466" s="23" t="s">
        <v>54</v>
      </c>
      <c r="I466" s="23" t="s">
        <v>436</v>
      </c>
      <c r="J466" s="23"/>
      <c r="L466" s="23"/>
      <c r="M466" s="23"/>
      <c r="N466" s="23"/>
      <c r="O466" s="23" t="str">
        <f>IF(ISNUMBER(SEARCH("to", N466)),
_xlfn.LET(
    _xlpm.first_line, LEFT(N466, IFERROR(SEARCH(CHAR(10), N466)-1, LEN(N466))),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466" s="23"/>
      <c r="Q466" s="23"/>
      <c r="R466" s="27"/>
      <c r="S466" s="27"/>
      <c r="T466" s="23"/>
      <c r="U466" s="28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 t="s">
        <v>66</v>
      </c>
      <c r="AN466" s="23"/>
      <c r="AO466" s="23"/>
      <c r="AP466" s="23"/>
      <c r="AQ466" s="23"/>
      <c r="AR466" s="23"/>
      <c r="AS466" s="23" t="str">
        <f t="shared" si="87"/>
        <v>No</v>
      </c>
      <c r="AT466" s="29" t="str">
        <f t="shared" si="84"/>
        <v>Vacant</v>
      </c>
      <c r="AU466" s="30"/>
      <c r="AV466" s="31"/>
      <c r="AW466" s="31"/>
      <c r="AX466" s="2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</row>
    <row r="467" spans="1:74" x14ac:dyDescent="0.25">
      <c r="A467" s="25">
        <v>463</v>
      </c>
      <c r="B467" s="23" t="s">
        <v>1259</v>
      </c>
      <c r="C467" s="23" t="s">
        <v>1255</v>
      </c>
      <c r="D467" s="26" t="s">
        <v>1260</v>
      </c>
      <c r="E467" s="23">
        <v>16</v>
      </c>
      <c r="F467" s="23" t="s">
        <v>560</v>
      </c>
      <c r="G467" s="23">
        <f>VLOOKUP(C467,[2]Sheet2!$T$3:$V$92,3,FALSE)</f>
        <v>69</v>
      </c>
      <c r="H467" s="23" t="s">
        <v>54</v>
      </c>
      <c r="I467" s="23" t="s">
        <v>436</v>
      </c>
      <c r="J467" s="23"/>
      <c r="K467" s="6">
        <v>0.7</v>
      </c>
      <c r="L467" s="23" t="s">
        <v>574</v>
      </c>
      <c r="M467" s="23"/>
      <c r="N467" s="23"/>
      <c r="O467" s="23" t="e">
        <f t="shared" ref="O467:O476" si="88">IF(DATEVALUE(MID(N467,15,10))-DATEVALUE(LEFT(N467,10))+1&gt;=365,"1 Year",
DATEDIF(DATEVALUE(LEFT(N467,10)),DATEVALUE(MID(N467,15,10)),"Y")&amp;" Years, "&amp;DATEDIF(DATEVALUE(LEFT(N467,10)),DATEVALUE(MID(N467,15,10)),"YM")&amp;" Months, "&amp;DATEDIF(DATEVALUE(LEFT(N467,10)),DATEVALUE(MID(N467,15,10)),"MD")&amp;" Days")</f>
        <v>#VALUE!</v>
      </c>
      <c r="P467" s="23"/>
      <c r="Q467" s="23"/>
      <c r="R467" s="27"/>
      <c r="S467" s="27"/>
      <c r="T467" s="23">
        <v>50755398</v>
      </c>
      <c r="U467" s="28">
        <v>4210131478685</v>
      </c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 t="s">
        <v>41</v>
      </c>
      <c r="AN467" s="23"/>
      <c r="AO467" s="23" t="s">
        <v>58</v>
      </c>
      <c r="AP467" s="23" t="s">
        <v>58</v>
      </c>
      <c r="AQ467" s="23"/>
      <c r="AR467" s="23"/>
      <c r="AS467" s="23" t="str">
        <f t="shared" si="87"/>
        <v>Incomplete</v>
      </c>
      <c r="AT467" s="29" t="str">
        <f t="shared" si="84"/>
        <v>Yes</v>
      </c>
      <c r="AU467" s="30"/>
      <c r="AV467" s="31"/>
      <c r="AW467" s="31" t="s">
        <v>59</v>
      </c>
      <c r="AX467" s="2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</row>
    <row r="468" spans="1:74" x14ac:dyDescent="0.25">
      <c r="A468" s="25">
        <v>464</v>
      </c>
      <c r="B468" s="23" t="s">
        <v>1261</v>
      </c>
      <c r="C468" s="23" t="s">
        <v>1255</v>
      </c>
      <c r="D468" s="26" t="s">
        <v>1262</v>
      </c>
      <c r="E468" s="23">
        <v>16</v>
      </c>
      <c r="F468" s="23" t="s">
        <v>62</v>
      </c>
      <c r="G468" s="23">
        <f>VLOOKUP(C468,[2]Sheet2!$T$3:$V$92,3,FALSE)</f>
        <v>69</v>
      </c>
      <c r="H468" s="23" t="s">
        <v>54</v>
      </c>
      <c r="I468" s="23" t="s">
        <v>436</v>
      </c>
      <c r="J468" s="23">
        <v>1</v>
      </c>
      <c r="K468" s="6">
        <v>0.79</v>
      </c>
      <c r="L468" s="23" t="s">
        <v>1263</v>
      </c>
      <c r="M468" s="23"/>
      <c r="N468" s="23"/>
      <c r="O468" s="23" t="e">
        <f t="shared" si="88"/>
        <v>#VALUE!</v>
      </c>
      <c r="P468" s="23"/>
      <c r="Q468" s="23"/>
      <c r="R468" s="27"/>
      <c r="S468" s="27"/>
      <c r="T468" s="23">
        <v>10685694</v>
      </c>
      <c r="U468" s="28">
        <v>4130713911991</v>
      </c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 t="s">
        <v>41</v>
      </c>
      <c r="AN468" s="32" t="s">
        <v>58</v>
      </c>
      <c r="AO468" s="32" t="s">
        <v>58</v>
      </c>
      <c r="AP468" s="32" t="s">
        <v>58</v>
      </c>
      <c r="AQ468" s="23"/>
      <c r="AR468" s="23"/>
      <c r="AS468" s="23" t="str">
        <f t="shared" si="87"/>
        <v>Yes</v>
      </c>
      <c r="AT468" s="29" t="str">
        <f t="shared" si="84"/>
        <v>Yes</v>
      </c>
      <c r="AU468" s="30"/>
      <c r="AV468" s="31"/>
      <c r="AW468" s="31" t="s">
        <v>59</v>
      </c>
      <c r="AX468" s="2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</row>
    <row r="469" spans="1:74" x14ac:dyDescent="0.25">
      <c r="A469" s="25">
        <v>465</v>
      </c>
      <c r="B469" s="23" t="s">
        <v>1264</v>
      </c>
      <c r="C469" s="23" t="s">
        <v>1255</v>
      </c>
      <c r="D469" s="26" t="s">
        <v>1265</v>
      </c>
      <c r="E469" s="23">
        <v>15</v>
      </c>
      <c r="F469" s="23" t="s">
        <v>108</v>
      </c>
      <c r="G469" s="23">
        <f>VLOOKUP(C469,[2]Sheet2!$T$3:$V$92,3,FALSE)</f>
        <v>69</v>
      </c>
      <c r="H469" s="23" t="s">
        <v>68</v>
      </c>
      <c r="I469" s="23" t="s">
        <v>436</v>
      </c>
      <c r="J469" s="23"/>
      <c r="K469" s="6">
        <v>0.76</v>
      </c>
      <c r="L469" s="23" t="s">
        <v>574</v>
      </c>
      <c r="M469" s="23"/>
      <c r="N469" s="23"/>
      <c r="O469" s="23" t="e">
        <f t="shared" si="88"/>
        <v>#VALUE!</v>
      </c>
      <c r="P469" s="23"/>
      <c r="Q469" s="23"/>
      <c r="R469" s="27"/>
      <c r="S469" s="27"/>
      <c r="T469" s="23">
        <v>50701643</v>
      </c>
      <c r="U469" s="28">
        <v>4320399192233</v>
      </c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 t="s">
        <v>42</v>
      </c>
      <c r="AN469" s="23" t="s">
        <v>58</v>
      </c>
      <c r="AO469" s="23" t="s">
        <v>58</v>
      </c>
      <c r="AP469" s="32" t="s">
        <v>58</v>
      </c>
      <c r="AQ469" s="32" t="s">
        <v>58</v>
      </c>
      <c r="AR469" s="23" t="s">
        <v>1266</v>
      </c>
      <c r="AS469" s="23" t="str">
        <f t="shared" si="87"/>
        <v>Yes</v>
      </c>
      <c r="AT469" s="29" t="str">
        <f t="shared" si="84"/>
        <v>Yes</v>
      </c>
      <c r="AU469" s="30"/>
      <c r="AV469" s="31"/>
      <c r="AW469" s="31" t="s">
        <v>59</v>
      </c>
      <c r="AX469" s="2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</row>
    <row r="470" spans="1:74" x14ac:dyDescent="0.25">
      <c r="A470" s="25">
        <v>466</v>
      </c>
      <c r="B470" s="23" t="s">
        <v>1267</v>
      </c>
      <c r="C470" s="23" t="s">
        <v>1255</v>
      </c>
      <c r="D470" s="26" t="s">
        <v>66</v>
      </c>
      <c r="E470" s="23">
        <v>15</v>
      </c>
      <c r="F470" s="23" t="s">
        <v>67</v>
      </c>
      <c r="G470" s="23">
        <f>VLOOKUP(C470,[2]Sheet2!$T$3:$V$92,3,FALSE)</f>
        <v>69</v>
      </c>
      <c r="H470" s="23" t="s">
        <v>68</v>
      </c>
      <c r="I470" s="23" t="s">
        <v>436</v>
      </c>
      <c r="J470" s="23"/>
      <c r="L470" s="23"/>
      <c r="M470" s="23"/>
      <c r="N470" s="23"/>
      <c r="O470" s="23" t="e">
        <f t="shared" si="88"/>
        <v>#VALUE!</v>
      </c>
      <c r="P470" s="23"/>
      <c r="Q470" s="23"/>
      <c r="R470" s="27"/>
      <c r="S470" s="27"/>
      <c r="T470" s="23"/>
      <c r="U470" s="28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 t="s">
        <v>66</v>
      </c>
      <c r="AN470" s="23"/>
      <c r="AO470" s="23"/>
      <c r="AP470" s="23" t="s">
        <v>189</v>
      </c>
      <c r="AQ470" s="23"/>
      <c r="AR470" s="23"/>
      <c r="AS470" s="23" t="str">
        <f t="shared" si="87"/>
        <v>Incomplete</v>
      </c>
      <c r="AT470" s="29" t="str">
        <f t="shared" si="84"/>
        <v>Vacant</v>
      </c>
      <c r="AU470" s="30"/>
      <c r="AV470" s="31"/>
      <c r="AW470" s="31"/>
      <c r="AX470" s="2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</row>
    <row r="471" spans="1:74" ht="28.5" x14ac:dyDescent="0.25">
      <c r="A471" s="25">
        <v>467</v>
      </c>
      <c r="B471" s="23" t="s">
        <v>1268</v>
      </c>
      <c r="C471" s="23" t="s">
        <v>1255</v>
      </c>
      <c r="D471" s="26" t="s">
        <v>1269</v>
      </c>
      <c r="E471" s="23">
        <v>13</v>
      </c>
      <c r="F471" s="23" t="s">
        <v>131</v>
      </c>
      <c r="G471" s="23">
        <f>VLOOKUP(C471,[2]Sheet2!$T$3:$V$92,3,FALSE)</f>
        <v>69</v>
      </c>
      <c r="H471" s="23" t="s">
        <v>68</v>
      </c>
      <c r="I471" s="23" t="s">
        <v>436</v>
      </c>
      <c r="J471" s="23"/>
      <c r="K471" s="6">
        <v>0.67</v>
      </c>
      <c r="L471" s="23" t="s">
        <v>427</v>
      </c>
      <c r="M471" s="23"/>
      <c r="N471" s="23" t="s">
        <v>95</v>
      </c>
      <c r="O471" s="23" t="str">
        <f t="shared" si="88"/>
        <v>1 Year</v>
      </c>
      <c r="P471" s="23" t="s">
        <v>1010</v>
      </c>
      <c r="Q471" s="23" t="s">
        <v>812</v>
      </c>
      <c r="R471" s="27"/>
      <c r="S471" s="27"/>
      <c r="T471" s="23">
        <v>50236431</v>
      </c>
      <c r="U471" s="28">
        <v>4130507231975</v>
      </c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 t="s">
        <v>41</v>
      </c>
      <c r="AN471" s="23" t="s">
        <v>58</v>
      </c>
      <c r="AO471" s="23" t="s">
        <v>58</v>
      </c>
      <c r="AP471" s="32" t="s">
        <v>58</v>
      </c>
      <c r="AQ471" s="23"/>
      <c r="AR471" s="23"/>
      <c r="AS471" s="23" t="str">
        <f>IF(AND(AN471="Yes", AO471="Yes"), "Yes", IF(AND(AN471="", AO471=""), "No", "Incomplete"))</f>
        <v>Yes</v>
      </c>
      <c r="AT471" s="29" t="str">
        <f t="shared" si="84"/>
        <v>Yes</v>
      </c>
      <c r="AU471" s="30"/>
      <c r="AV471" s="31"/>
      <c r="AW471" s="31" t="s">
        <v>59</v>
      </c>
      <c r="AX471" s="2" t="s">
        <v>422</v>
      </c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</row>
    <row r="472" spans="1:74" ht="28.5" x14ac:dyDescent="0.25">
      <c r="A472" s="25">
        <v>468</v>
      </c>
      <c r="B472" s="23" t="s">
        <v>1270</v>
      </c>
      <c r="C472" s="23" t="s">
        <v>1255</v>
      </c>
      <c r="D472" s="26" t="s">
        <v>1271</v>
      </c>
      <c r="E472" s="23">
        <v>11</v>
      </c>
      <c r="F472" s="23" t="s">
        <v>138</v>
      </c>
      <c r="G472" s="23">
        <f>VLOOKUP(C472,[2]Sheet2!$T$3:$V$92,3,FALSE)</f>
        <v>69</v>
      </c>
      <c r="H472" s="23" t="s">
        <v>68</v>
      </c>
      <c r="I472" s="23" t="s">
        <v>436</v>
      </c>
      <c r="J472" s="23"/>
      <c r="K472" s="6">
        <v>0.62</v>
      </c>
      <c r="L472" s="23" t="s">
        <v>427</v>
      </c>
      <c r="M472" s="23"/>
      <c r="N472" s="23" t="s">
        <v>95</v>
      </c>
      <c r="O472" s="23" t="str">
        <f t="shared" si="88"/>
        <v>1 Year</v>
      </c>
      <c r="P472" s="23" t="s">
        <v>1010</v>
      </c>
      <c r="Q472" s="23" t="s">
        <v>812</v>
      </c>
      <c r="R472" s="27"/>
      <c r="S472" s="27"/>
      <c r="T472" s="23">
        <v>50197852</v>
      </c>
      <c r="U472" s="28">
        <v>3210230789435</v>
      </c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 t="s">
        <v>41</v>
      </c>
      <c r="AN472" s="23" t="s">
        <v>58</v>
      </c>
      <c r="AO472" s="23" t="s">
        <v>58</v>
      </c>
      <c r="AP472" s="32" t="s">
        <v>58</v>
      </c>
      <c r="AQ472" s="23"/>
      <c r="AR472" s="23"/>
      <c r="AS472" s="23" t="str">
        <f>IF(AND(AN472="Yes"), "Yes", IF(AND(AN472=""), "No", "Incomplete"))</f>
        <v>Yes</v>
      </c>
      <c r="AT472" s="29" t="str">
        <f t="shared" si="84"/>
        <v>Yes</v>
      </c>
      <c r="AU472" s="30"/>
      <c r="AV472" s="31"/>
      <c r="AW472" s="31" t="s">
        <v>59</v>
      </c>
      <c r="AX472" s="2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</row>
    <row r="473" spans="1:74" x14ac:dyDescent="0.25">
      <c r="A473" s="25">
        <v>469</v>
      </c>
      <c r="B473" s="23" t="s">
        <v>1272</v>
      </c>
      <c r="C473" s="23" t="s">
        <v>1255</v>
      </c>
      <c r="D473" s="26" t="s">
        <v>1273</v>
      </c>
      <c r="E473" s="23">
        <v>7</v>
      </c>
      <c r="F473" s="23" t="s">
        <v>264</v>
      </c>
      <c r="G473" s="23">
        <f>VLOOKUP(C473,[2]Sheet2!$T$3:$V$92,3,FALSE)</f>
        <v>69</v>
      </c>
      <c r="H473" s="23" t="s">
        <v>68</v>
      </c>
      <c r="I473" s="23" t="s">
        <v>436</v>
      </c>
      <c r="J473" s="23"/>
      <c r="K473" s="6">
        <v>0.64</v>
      </c>
      <c r="L473" s="23" t="s">
        <v>427</v>
      </c>
      <c r="M473" s="23"/>
      <c r="N473" s="23"/>
      <c r="O473" s="23" t="e">
        <f t="shared" si="88"/>
        <v>#VALUE!</v>
      </c>
      <c r="P473" s="23"/>
      <c r="Q473" s="23"/>
      <c r="R473" s="27"/>
      <c r="S473" s="27"/>
      <c r="T473" s="23">
        <v>50393389</v>
      </c>
      <c r="U473" s="28">
        <v>4140834877717</v>
      </c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 t="s">
        <v>41</v>
      </c>
      <c r="AN473" s="32" t="s">
        <v>58</v>
      </c>
      <c r="AO473" s="32" t="s">
        <v>58</v>
      </c>
      <c r="AP473" s="32" t="s">
        <v>58</v>
      </c>
      <c r="AQ473" s="23"/>
      <c r="AR473" s="23"/>
      <c r="AS473" s="23" t="str">
        <f>IF(AND(AN473="Yes"), "Yes", IF(AND(AN473=""), "No", "Incomplete"))</f>
        <v>Yes</v>
      </c>
      <c r="AT473" s="29" t="str">
        <f t="shared" si="84"/>
        <v>Yes</v>
      </c>
      <c r="AU473" s="30"/>
      <c r="AV473" s="31"/>
      <c r="AW473" s="31" t="s">
        <v>59</v>
      </c>
      <c r="AX473" s="2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</row>
    <row r="474" spans="1:74" x14ac:dyDescent="0.25">
      <c r="A474" s="25">
        <v>458</v>
      </c>
      <c r="B474" s="23" t="s">
        <v>1274</v>
      </c>
      <c r="C474" s="23" t="s">
        <v>1255</v>
      </c>
      <c r="D474" s="26" t="s">
        <v>458</v>
      </c>
      <c r="E474" s="23">
        <v>5</v>
      </c>
      <c r="F474" s="23" t="s">
        <v>71</v>
      </c>
      <c r="G474" s="23">
        <f>VLOOKUP(C474,[2]Sheet2!$T$3:$V$92,3,FALSE)</f>
        <v>69</v>
      </c>
      <c r="H474" s="23" t="s">
        <v>68</v>
      </c>
      <c r="I474" s="23" t="s">
        <v>436</v>
      </c>
      <c r="J474" s="23"/>
      <c r="K474" s="6">
        <v>0</v>
      </c>
      <c r="L474" s="23"/>
      <c r="M474" s="23"/>
      <c r="N474" s="23"/>
      <c r="O474" s="23" t="e">
        <f t="shared" si="88"/>
        <v>#VALUE!</v>
      </c>
      <c r="P474" s="23"/>
      <c r="Q474" s="23"/>
      <c r="R474" s="27"/>
      <c r="S474" s="27">
        <v>45938</v>
      </c>
      <c r="T474" s="23">
        <v>10610817</v>
      </c>
      <c r="U474" s="28">
        <v>415043534865</v>
      </c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 t="s">
        <v>73</v>
      </c>
      <c r="AN474" s="23"/>
      <c r="AO474" s="23"/>
      <c r="AP474" s="23"/>
      <c r="AQ474" s="23"/>
      <c r="AR474" s="23"/>
      <c r="AS474" s="23" t="str">
        <f>IF(AND(AN474="Yes"), "Yes", IF(AND(AN474=""), "No", "Incomplete"))</f>
        <v>No</v>
      </c>
      <c r="AT474" s="29" t="str">
        <f t="shared" si="84"/>
        <v>NA</v>
      </c>
      <c r="AU474" s="30"/>
      <c r="AV474" s="31"/>
      <c r="AW474" s="31" t="s">
        <v>59</v>
      </c>
      <c r="AX474" s="2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</row>
    <row r="475" spans="1:74" x14ac:dyDescent="0.25">
      <c r="A475" s="25">
        <v>470</v>
      </c>
      <c r="B475" s="23" t="s">
        <v>1275</v>
      </c>
      <c r="C475" s="23" t="s">
        <v>1255</v>
      </c>
      <c r="D475" s="26" t="s">
        <v>1276</v>
      </c>
      <c r="E475" s="23">
        <v>5</v>
      </c>
      <c r="F475" s="23" t="s">
        <v>145</v>
      </c>
      <c r="G475" s="23">
        <f>VLOOKUP(C475,[2]Sheet2!$T$3:$V$92,3,FALSE)</f>
        <v>69</v>
      </c>
      <c r="H475" s="23" t="s">
        <v>68</v>
      </c>
      <c r="I475" s="23" t="s">
        <v>436</v>
      </c>
      <c r="J475" s="23"/>
      <c r="K475" s="6">
        <v>0</v>
      </c>
      <c r="L475" s="23"/>
      <c r="M475" s="23"/>
      <c r="N475" s="23"/>
      <c r="O475" s="23" t="e">
        <f t="shared" si="88"/>
        <v>#VALUE!</v>
      </c>
      <c r="P475" s="23"/>
      <c r="Q475" s="23"/>
      <c r="R475" s="27"/>
      <c r="S475" s="27"/>
      <c r="T475" s="23"/>
      <c r="U475" s="28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 t="s">
        <v>39</v>
      </c>
      <c r="AN475" s="32" t="s">
        <v>58</v>
      </c>
      <c r="AO475" s="23"/>
      <c r="AP475" s="23"/>
      <c r="AQ475" s="23"/>
      <c r="AR475" s="23"/>
      <c r="AS475" s="23" t="str">
        <f>IF(AND(AN475="Yes"), "Yes", IF(AND(AN475=""), "No", "Incomplete"))</f>
        <v>Yes</v>
      </c>
      <c r="AT475" s="29" t="str">
        <f t="shared" si="84"/>
        <v>Yes</v>
      </c>
      <c r="AU475" s="30"/>
      <c r="AV475" s="31"/>
      <c r="AW475" s="31" t="s">
        <v>59</v>
      </c>
      <c r="AX475" s="2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</row>
    <row r="476" spans="1:74" x14ac:dyDescent="0.25">
      <c r="A476" s="25">
        <v>471</v>
      </c>
      <c r="B476" s="23" t="s">
        <v>1277</v>
      </c>
      <c r="C476" s="23" t="s">
        <v>1255</v>
      </c>
      <c r="D476" s="26" t="s">
        <v>1278</v>
      </c>
      <c r="E476" s="23">
        <v>4</v>
      </c>
      <c r="F476" s="23" t="s">
        <v>161</v>
      </c>
      <c r="G476" s="23">
        <f>VLOOKUP(C476,[2]Sheet2!$T$3:$V$92,3,FALSE)</f>
        <v>69</v>
      </c>
      <c r="H476" s="23" t="s">
        <v>68</v>
      </c>
      <c r="I476" s="23" t="s">
        <v>436</v>
      </c>
      <c r="J476" s="23"/>
      <c r="K476" s="6">
        <v>0.63</v>
      </c>
      <c r="L476" s="23" t="s">
        <v>427</v>
      </c>
      <c r="M476" s="63" t="s">
        <v>1279</v>
      </c>
      <c r="N476" s="63"/>
      <c r="O476" s="23" t="e">
        <f t="shared" si="88"/>
        <v>#VALUE!</v>
      </c>
      <c r="P476" s="63"/>
      <c r="Q476" s="63"/>
      <c r="R476" s="64">
        <v>40182</v>
      </c>
      <c r="S476" s="64">
        <v>43084</v>
      </c>
      <c r="T476" s="23">
        <v>10615224</v>
      </c>
      <c r="U476" s="28">
        <v>4140985585457</v>
      </c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 t="s">
        <v>73</v>
      </c>
      <c r="AN476" s="23"/>
      <c r="AO476" s="23"/>
      <c r="AP476" s="23"/>
      <c r="AQ476" s="23"/>
      <c r="AR476" s="23"/>
      <c r="AS476" s="23" t="str">
        <f>IF(AND(AN476="Yes"), "Yes", IF(AND(AN476=""), "No", "Incomplete"))</f>
        <v>No</v>
      </c>
      <c r="AT476" s="29" t="str">
        <f t="shared" si="84"/>
        <v>NA</v>
      </c>
      <c r="AU476" s="30"/>
      <c r="AV476" s="31"/>
      <c r="AW476" s="31" t="s">
        <v>59</v>
      </c>
      <c r="AX476" s="2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</row>
    <row r="477" spans="1:74" x14ac:dyDescent="0.25">
      <c r="A477" s="25">
        <v>473</v>
      </c>
      <c r="B477" s="23" t="s">
        <v>1280</v>
      </c>
      <c r="C477" s="23" t="s">
        <v>1281</v>
      </c>
      <c r="D477" s="26" t="s">
        <v>66</v>
      </c>
      <c r="E477" s="23">
        <v>17</v>
      </c>
      <c r="F477" s="23" t="s">
        <v>586</v>
      </c>
      <c r="G477" s="23">
        <f>VLOOKUP(C477,[2]Sheet2!$T$3:$V$92,3,FALSE)</f>
        <v>70</v>
      </c>
      <c r="H477" s="23" t="s">
        <v>54</v>
      </c>
      <c r="I477" s="23" t="s">
        <v>436</v>
      </c>
      <c r="J477" s="23"/>
      <c r="L477" s="23"/>
      <c r="M477" s="23"/>
      <c r="N477" s="23"/>
      <c r="O477" s="23" t="str">
        <f>IF(ISNUMBER(SEARCH("to", N477)),
_xlfn.LET(
    _xlpm.first_line, LEFT(N477, IFERROR(SEARCH(CHAR(10), N477)-1, LEN(N477))),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477" s="23"/>
      <c r="Q477" s="23"/>
      <c r="R477" s="27"/>
      <c r="S477" s="27"/>
      <c r="T477" s="23"/>
      <c r="U477" s="28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 t="s">
        <v>66</v>
      </c>
      <c r="AN477" s="23"/>
      <c r="AO477" s="23"/>
      <c r="AP477" s="23"/>
      <c r="AQ477" s="23"/>
      <c r="AR477" s="23"/>
      <c r="AS477" s="23" t="str">
        <f>IF(AND(AN477="Yes", AO477="Yes", AP477="Yes"), "Yes", IF(AND(AN477="", AO477="", AP477=""), "No", "Incomplete"))</f>
        <v>No</v>
      </c>
      <c r="AT477" s="29" t="str">
        <f t="shared" si="84"/>
        <v>Vacant</v>
      </c>
      <c r="AU477" s="30"/>
      <c r="AV477" s="31"/>
      <c r="AW477" s="31"/>
      <c r="AX477" s="2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</row>
    <row r="478" spans="1:74" ht="28.5" x14ac:dyDescent="0.25">
      <c r="A478" s="25">
        <v>474</v>
      </c>
      <c r="B478" s="23" t="s">
        <v>1282</v>
      </c>
      <c r="C478" s="23" t="s">
        <v>1281</v>
      </c>
      <c r="D478" s="26" t="s">
        <v>1283</v>
      </c>
      <c r="E478" s="23">
        <v>15</v>
      </c>
      <c r="F478" s="23" t="s">
        <v>67</v>
      </c>
      <c r="G478" s="23">
        <f>VLOOKUP(C478,[2]Sheet2!$T$3:$V$92,3,FALSE)</f>
        <v>70</v>
      </c>
      <c r="H478" s="23" t="s">
        <v>68</v>
      </c>
      <c r="I478" s="23" t="s">
        <v>436</v>
      </c>
      <c r="J478" s="23"/>
      <c r="K478" s="6">
        <v>0.63</v>
      </c>
      <c r="L478" s="23" t="s">
        <v>427</v>
      </c>
      <c r="M478" s="23"/>
      <c r="N478" s="23"/>
      <c r="O478" s="23" t="e">
        <f>IF(DATEVALUE(MID(N478,15,10))-DATEVALUE(LEFT(N478,10))+1&gt;=365,"1 Year",
DATEDIF(DATEVALUE(LEFT(N478,10)),DATEVALUE(MID(N478,15,10)),"Y")&amp;" Years, "&amp;DATEDIF(DATEVALUE(LEFT(N478,10)),DATEVALUE(MID(N478,15,10)),"YM")&amp;" Months, "&amp;DATEDIF(DATEVALUE(LEFT(N478,10)),DATEVALUE(MID(N478,15,10)),"MD")&amp;" Days")</f>
        <v>#VALUE!</v>
      </c>
      <c r="P478" s="23"/>
      <c r="Q478" s="23"/>
      <c r="R478" s="27"/>
      <c r="S478" s="27"/>
      <c r="T478" s="23">
        <v>10394067</v>
      </c>
      <c r="U478" s="28">
        <v>4220142511459</v>
      </c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 t="s">
        <v>41</v>
      </c>
      <c r="AN478" s="23" t="s">
        <v>790</v>
      </c>
      <c r="AO478" s="32" t="s">
        <v>58</v>
      </c>
      <c r="AP478" s="32" t="s">
        <v>58</v>
      </c>
      <c r="AQ478" s="23"/>
      <c r="AR478" s="23"/>
      <c r="AS478" s="23" t="str">
        <f>IF(AND(AN478="Yes", AO478="Yes", AP478="Yes"), "Yes", IF(AND(AN478="", AO478="", AP478=""), "No", "Incomplete"))</f>
        <v>Incomplete</v>
      </c>
      <c r="AT478" s="29" t="str">
        <f t="shared" si="84"/>
        <v>Yes</v>
      </c>
      <c r="AU478" s="30"/>
      <c r="AV478" s="31"/>
      <c r="AW478" s="31"/>
      <c r="AX478" s="2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</row>
    <row r="479" spans="1:74" ht="28.5" x14ac:dyDescent="0.25">
      <c r="A479" s="25">
        <v>475</v>
      </c>
      <c r="B479" s="23" t="s">
        <v>1284</v>
      </c>
      <c r="C479" s="23" t="s">
        <v>1281</v>
      </c>
      <c r="D479" s="26" t="s">
        <v>1285</v>
      </c>
      <c r="E479" s="23">
        <v>13</v>
      </c>
      <c r="F479" s="23" t="s">
        <v>131</v>
      </c>
      <c r="G479" s="23">
        <f>VLOOKUP(C479,[2]Sheet2!$T$3:$V$92,3,FALSE)</f>
        <v>70</v>
      </c>
      <c r="H479" s="23" t="s">
        <v>68</v>
      </c>
      <c r="I479" s="23" t="s">
        <v>436</v>
      </c>
      <c r="J479" s="23"/>
      <c r="K479" s="6">
        <v>0.72</v>
      </c>
      <c r="L479" s="23" t="s">
        <v>574</v>
      </c>
      <c r="M479" s="23"/>
      <c r="N479" s="23" t="s">
        <v>95</v>
      </c>
      <c r="O479" s="23" t="str">
        <f>IF(DATEVALUE(MID(N479,15,10))-DATEVALUE(LEFT(N479,10))+1&gt;=365,"1 Year",
DATEDIF(DATEVALUE(LEFT(N479,10)),DATEVALUE(MID(N479,15,10)),"Y")&amp;" Years, "&amp;DATEDIF(DATEVALUE(LEFT(N479,10)),DATEVALUE(MID(N479,15,10)),"YM")&amp;" Months, "&amp;DATEDIF(DATEVALUE(LEFT(N479,10)),DATEVALUE(MID(N479,15,10)),"MD")&amp;" Days")</f>
        <v>1 Year</v>
      </c>
      <c r="P479" s="23" t="s">
        <v>1010</v>
      </c>
      <c r="Q479" s="23" t="s">
        <v>812</v>
      </c>
      <c r="R479" s="27"/>
      <c r="S479" s="27"/>
      <c r="T479" s="23">
        <v>50184841</v>
      </c>
      <c r="U479" s="28">
        <v>4130495957449</v>
      </c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 t="s">
        <v>42</v>
      </c>
      <c r="AN479" s="32" t="s">
        <v>58</v>
      </c>
      <c r="AO479" s="32" t="s">
        <v>58</v>
      </c>
      <c r="AP479" s="70" t="s">
        <v>58</v>
      </c>
      <c r="AQ479" s="70" t="s">
        <v>58</v>
      </c>
      <c r="AR479" s="23"/>
      <c r="AS479" s="23" t="str">
        <f>IF(AND(AN479="Yes", AO479="Yes"), "Yes", IF(AND(AN479="", AO479=""), "No", "Incomplete"))</f>
        <v>Yes</v>
      </c>
      <c r="AT479" s="29" t="str">
        <f t="shared" si="84"/>
        <v>Yes</v>
      </c>
      <c r="AU479" s="30"/>
      <c r="AV479" s="31"/>
      <c r="AW479" s="31" t="s">
        <v>59</v>
      </c>
      <c r="AX479" s="2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</row>
    <row r="480" spans="1:74" x14ac:dyDescent="0.25">
      <c r="A480" s="25">
        <v>477</v>
      </c>
      <c r="B480" s="23" t="s">
        <v>1286</v>
      </c>
      <c r="C480" s="23" t="s">
        <v>1281</v>
      </c>
      <c r="D480" s="26" t="s">
        <v>789</v>
      </c>
      <c r="E480" s="23">
        <v>4</v>
      </c>
      <c r="F480" s="23" t="s">
        <v>71</v>
      </c>
      <c r="G480" s="23">
        <f>VLOOKUP(C480,[2]Sheet2!$T$3:$V$92,3,FALSE)</f>
        <v>70</v>
      </c>
      <c r="H480" s="23" t="s">
        <v>68</v>
      </c>
      <c r="I480" s="23" t="s">
        <v>436</v>
      </c>
      <c r="J480" s="23"/>
      <c r="K480" s="6">
        <v>0.7</v>
      </c>
      <c r="L480" s="23" t="s">
        <v>574</v>
      </c>
      <c r="M480" s="23"/>
      <c r="N480" s="23"/>
      <c r="O480" s="23" t="e">
        <f>IF(DATEVALUE(MID(N480,15,10))-DATEVALUE(LEFT(N480,10))+1&gt;=365,"1 Year",
DATEDIF(DATEVALUE(LEFT(N480,10)),DATEVALUE(MID(N480,15,10)),"Y")&amp;" Years, "&amp;DATEDIF(DATEVALUE(LEFT(N480,10)),DATEVALUE(MID(N480,15,10)),"YM")&amp;" Months, "&amp;DATEDIF(DATEVALUE(LEFT(N480,10)),DATEVALUE(MID(N480,15,10)),"MD")&amp;" Days")</f>
        <v>#VALUE!</v>
      </c>
      <c r="P480" s="23"/>
      <c r="Q480" s="23"/>
      <c r="R480" s="27"/>
      <c r="S480" s="27"/>
      <c r="T480" s="23">
        <v>50196654</v>
      </c>
      <c r="U480" s="28">
        <v>4140937531461</v>
      </c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 t="s">
        <v>40</v>
      </c>
      <c r="AN480" s="23" t="s">
        <v>58</v>
      </c>
      <c r="AO480" s="32" t="s">
        <v>58</v>
      </c>
      <c r="AP480" s="23"/>
      <c r="AQ480" s="23"/>
      <c r="AR480" s="23"/>
      <c r="AS480" s="23" t="str">
        <f>IF(AND(AN480="Yes"), "Yes", IF(AND(AN480=""), "No", "Incomplete"))</f>
        <v>Yes</v>
      </c>
      <c r="AT480" s="29" t="str">
        <f t="shared" si="84"/>
        <v>Yes</v>
      </c>
      <c r="AU480" s="30"/>
      <c r="AV480" s="31"/>
      <c r="AW480" s="31" t="s">
        <v>59</v>
      </c>
      <c r="AX480" s="2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</row>
    <row r="481" spans="1:74" x14ac:dyDescent="0.25">
      <c r="A481" s="25">
        <v>476</v>
      </c>
      <c r="B481" s="23" t="s">
        <v>1287</v>
      </c>
      <c r="C481" s="23" t="s">
        <v>1281</v>
      </c>
      <c r="D481" s="26" t="s">
        <v>1288</v>
      </c>
      <c r="E481" s="23">
        <v>4</v>
      </c>
      <c r="F481" s="23" t="s">
        <v>161</v>
      </c>
      <c r="G481" s="23">
        <f>VLOOKUP(C481,[2]Sheet2!$T$3:$V$92,3,FALSE)</f>
        <v>70</v>
      </c>
      <c r="H481" s="23" t="s">
        <v>68</v>
      </c>
      <c r="I481" s="23" t="s">
        <v>436</v>
      </c>
      <c r="J481" s="23"/>
      <c r="K481" s="6">
        <v>0.7</v>
      </c>
      <c r="L481" s="23" t="s">
        <v>574</v>
      </c>
      <c r="M481" s="63" t="s">
        <v>302</v>
      </c>
      <c r="N481" s="63"/>
      <c r="O481" s="23" t="e">
        <f>IF(DATEVALUE(MID(N481,15,10))-DATEVALUE(LEFT(N481,10))+1&gt;=365,"1 Year",
DATEDIF(DATEVALUE(LEFT(N481,10)),DATEVALUE(MID(N481,15,10)),"Y")&amp;" Years, "&amp;DATEDIF(DATEVALUE(LEFT(N481,10)),DATEVALUE(MID(N481,15,10)),"YM")&amp;" Months, "&amp;DATEDIF(DATEVALUE(LEFT(N481,10)),DATEVALUE(MID(N481,15,10)),"MD")&amp;" Days")</f>
        <v>#VALUE!</v>
      </c>
      <c r="P481" s="63"/>
      <c r="Q481" s="63"/>
      <c r="R481" s="64">
        <v>41499</v>
      </c>
      <c r="S481" s="64">
        <v>45502</v>
      </c>
      <c r="T481" s="23">
        <v>50177369</v>
      </c>
      <c r="U481" s="28">
        <v>4530119456411</v>
      </c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 t="s">
        <v>40</v>
      </c>
      <c r="AN481" s="23" t="s">
        <v>58</v>
      </c>
      <c r="AO481" s="23" t="s">
        <v>58</v>
      </c>
      <c r="AP481" s="23"/>
      <c r="AQ481" s="23"/>
      <c r="AR481" s="23"/>
      <c r="AS481" s="23" t="str">
        <f>IF(AND(AN481="Yes"), "Yes", IF(AND(AN481=""), "No", "Incomplete"))</f>
        <v>Yes</v>
      </c>
      <c r="AT481" s="29" t="str">
        <f t="shared" si="84"/>
        <v>Yes</v>
      </c>
      <c r="AU481" s="30"/>
      <c r="AV481" s="31"/>
      <c r="AW481" s="31" t="s">
        <v>59</v>
      </c>
      <c r="AX481" s="2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</row>
    <row r="482" spans="1:74" x14ac:dyDescent="0.25">
      <c r="A482" s="25">
        <v>478</v>
      </c>
      <c r="B482" s="23" t="s">
        <v>1289</v>
      </c>
      <c r="C482" s="23" t="s">
        <v>1290</v>
      </c>
      <c r="D482" s="45" t="s">
        <v>1291</v>
      </c>
      <c r="E482" s="23">
        <v>18</v>
      </c>
      <c r="F482" s="23" t="s">
        <v>440</v>
      </c>
      <c r="G482" s="23">
        <f>VLOOKUP(C482,[2]Sheet2!$T$3:$V$92,3,FALSE)</f>
        <v>71</v>
      </c>
      <c r="H482" s="23" t="s">
        <v>54</v>
      </c>
      <c r="I482" s="23" t="s">
        <v>436</v>
      </c>
      <c r="J482" s="23"/>
      <c r="L482" s="23"/>
      <c r="M482" s="23"/>
      <c r="N482" s="23" t="s">
        <v>56</v>
      </c>
      <c r="O482" s="23" t="e">
        <f ca="1">IF(ISNUMBER(SEARCH("to", N482)),
_xlfn.LET(
    _xlpm.text_n3, N482,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482" s="23"/>
      <c r="Q482" s="23" t="s">
        <v>57</v>
      </c>
      <c r="R482" s="27"/>
      <c r="S482" s="27"/>
      <c r="T482" s="23">
        <v>50296356</v>
      </c>
      <c r="U482" s="28">
        <v>4220108428316</v>
      </c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 t="s">
        <v>42</v>
      </c>
      <c r="AN482" s="23" t="s">
        <v>58</v>
      </c>
      <c r="AO482" s="23" t="s">
        <v>58</v>
      </c>
      <c r="AP482" s="23" t="s">
        <v>58</v>
      </c>
      <c r="AQ482" s="23" t="s">
        <v>58</v>
      </c>
      <c r="AR482" s="23"/>
      <c r="AS482" s="23" t="str">
        <f>IF(AND(AN482="Yes", AO482="Yes", AP482="Yes"), "Yes", IF(AND(AN482="", AO482="", AP482=""), "No", "Incomplete"))</f>
        <v>Yes</v>
      </c>
      <c r="AT482" s="29" t="str">
        <f t="shared" si="84"/>
        <v>Yes</v>
      </c>
      <c r="AU482" s="30"/>
      <c r="AV482" s="31"/>
      <c r="AW482" s="31" t="s">
        <v>59</v>
      </c>
      <c r="AX482" s="2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</row>
    <row r="483" spans="1:74" x14ac:dyDescent="0.25">
      <c r="A483" s="25">
        <v>479</v>
      </c>
      <c r="B483" s="23" t="s">
        <v>1292</v>
      </c>
      <c r="C483" s="23" t="s">
        <v>1290</v>
      </c>
      <c r="D483" s="26" t="s">
        <v>66</v>
      </c>
      <c r="E483" s="23">
        <v>17</v>
      </c>
      <c r="F483" s="23" t="s">
        <v>586</v>
      </c>
      <c r="G483" s="23">
        <f>VLOOKUP(C483,[2]Sheet2!$T$3:$V$92,3,FALSE)</f>
        <v>71</v>
      </c>
      <c r="H483" s="23" t="s">
        <v>54</v>
      </c>
      <c r="I483" s="23" t="s">
        <v>436</v>
      </c>
      <c r="J483" s="23"/>
      <c r="L483" s="23"/>
      <c r="M483" s="23"/>
      <c r="N483" s="23"/>
      <c r="O483" s="23" t="str">
        <f>IF(ISNUMBER(SEARCH("to", N483)),
_xlfn.LET(
    _xlpm.first_line, LEFT(N483, IFERROR(SEARCH(CHAR(10), N483)-1, LEN(N483))),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483" s="23"/>
      <c r="Q483" s="23"/>
      <c r="R483" s="27"/>
      <c r="S483" s="27"/>
      <c r="T483" s="23"/>
      <c r="U483" s="28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 t="s">
        <v>66</v>
      </c>
      <c r="AN483" s="23"/>
      <c r="AO483" s="23"/>
      <c r="AP483" s="23"/>
      <c r="AQ483" s="23"/>
      <c r="AR483" s="23"/>
      <c r="AS483" s="23" t="str">
        <f>IF(AND(AN483="Yes", AO483="Yes", AP483="Yes"), "Yes", IF(AND(AN483="", AO483="", AP483=""), "No", "Incomplete"))</f>
        <v>No</v>
      </c>
      <c r="AT483" s="29" t="str">
        <f t="shared" si="84"/>
        <v>Vacant</v>
      </c>
      <c r="AU483" s="30"/>
      <c r="AV483" s="31"/>
      <c r="AW483" s="31"/>
      <c r="AX483" s="2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</row>
    <row r="484" spans="1:74" x14ac:dyDescent="0.25">
      <c r="A484" s="25">
        <v>480</v>
      </c>
      <c r="B484" s="23" t="s">
        <v>1293</v>
      </c>
      <c r="C484" s="23" t="s">
        <v>1290</v>
      </c>
      <c r="D484" s="26" t="s">
        <v>1294</v>
      </c>
      <c r="E484" s="23">
        <v>16</v>
      </c>
      <c r="F484" s="23" t="s">
        <v>67</v>
      </c>
      <c r="G484" s="23">
        <f>VLOOKUP(C484,[2]Sheet2!$T$3:$V$92,3,FALSE)</f>
        <v>71</v>
      </c>
      <c r="H484" s="23" t="s">
        <v>68</v>
      </c>
      <c r="I484" s="23" t="s">
        <v>436</v>
      </c>
      <c r="J484" s="23"/>
      <c r="K484" s="6">
        <v>0.73</v>
      </c>
      <c r="L484" s="23" t="s">
        <v>574</v>
      </c>
      <c r="M484" s="23"/>
      <c r="N484" s="23"/>
      <c r="O484" s="23" t="e">
        <f t="shared" ref="O484:O493" si="89">IF(DATEVALUE(MID(N484,15,10))-DATEVALUE(LEFT(N484,10))+1&gt;=365,"1 Year",
DATEDIF(DATEVALUE(LEFT(N484,10)),DATEVALUE(MID(N484,15,10)),"Y")&amp;" Years, "&amp;DATEDIF(DATEVALUE(LEFT(N484,10)),DATEVALUE(MID(N484,15,10)),"YM")&amp;" Months, "&amp;DATEDIF(DATEVALUE(LEFT(N484,10)),DATEVALUE(MID(N484,15,10)),"MD")&amp;" Days")</f>
        <v>#VALUE!</v>
      </c>
      <c r="P484" s="23"/>
      <c r="Q484" s="23"/>
      <c r="R484" s="27"/>
      <c r="S484" s="27"/>
      <c r="T484" s="23">
        <v>50174941</v>
      </c>
      <c r="U484" s="28">
        <v>4130864556383</v>
      </c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 t="s">
        <v>41</v>
      </c>
      <c r="AN484" s="23" t="s">
        <v>58</v>
      </c>
      <c r="AO484" s="32" t="s">
        <v>58</v>
      </c>
      <c r="AP484" s="32" t="s">
        <v>58</v>
      </c>
      <c r="AQ484" s="23"/>
      <c r="AR484" s="23"/>
      <c r="AS484" s="23" t="str">
        <f>IF(AND(AN484="Yes", AO484="Yes", AP484="Yes"), "Yes", IF(AND(AN484="", AO484="", AP484=""), "No", "Incomplete"))</f>
        <v>Yes</v>
      </c>
      <c r="AT484" s="29" t="str">
        <f t="shared" si="84"/>
        <v>Yes</v>
      </c>
      <c r="AU484" s="30"/>
      <c r="AV484" s="31"/>
      <c r="AW484" s="31" t="s">
        <v>59</v>
      </c>
      <c r="AX484" s="2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</row>
    <row r="485" spans="1:74" x14ac:dyDescent="0.25">
      <c r="A485" s="25">
        <v>481</v>
      </c>
      <c r="B485" s="23" t="s">
        <v>1295</v>
      </c>
      <c r="C485" s="23" t="s">
        <v>1290</v>
      </c>
      <c r="D485" s="26" t="s">
        <v>1296</v>
      </c>
      <c r="E485" s="23">
        <v>15</v>
      </c>
      <c r="F485" s="23" t="s">
        <v>108</v>
      </c>
      <c r="G485" s="23">
        <f>VLOOKUP(C485,[2]Sheet2!$T$3:$V$92,3,FALSE)</f>
        <v>71</v>
      </c>
      <c r="H485" s="23" t="s">
        <v>68</v>
      </c>
      <c r="I485" s="23" t="s">
        <v>436</v>
      </c>
      <c r="J485" s="23"/>
      <c r="K485" s="6">
        <v>0.68</v>
      </c>
      <c r="L485" s="23" t="s">
        <v>427</v>
      </c>
      <c r="M485" s="23"/>
      <c r="N485" s="23"/>
      <c r="O485" s="23" t="e">
        <f t="shared" si="89"/>
        <v>#VALUE!</v>
      </c>
      <c r="P485" s="23"/>
      <c r="Q485" s="23"/>
      <c r="R485" s="27"/>
      <c r="S485" s="27"/>
      <c r="T485" s="23">
        <v>50676092</v>
      </c>
      <c r="U485" s="28">
        <v>4140908890347</v>
      </c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 t="s">
        <v>41</v>
      </c>
      <c r="AN485" s="32" t="s">
        <v>58</v>
      </c>
      <c r="AO485" s="32" t="s">
        <v>58</v>
      </c>
      <c r="AP485" s="32" t="s">
        <v>58</v>
      </c>
      <c r="AQ485" s="23"/>
      <c r="AR485" s="23"/>
      <c r="AS485" s="23" t="str">
        <f>IF(AND(AN485="Yes", AO485="Yes", AP485="Yes"), "Yes", IF(AND(AN485="", AO485="", AP485=""), "No", "Incomplete"))</f>
        <v>Yes</v>
      </c>
      <c r="AT485" s="29" t="str">
        <f t="shared" si="84"/>
        <v>Yes</v>
      </c>
      <c r="AU485" s="30"/>
      <c r="AV485" s="31"/>
      <c r="AW485" s="31" t="s">
        <v>59</v>
      </c>
      <c r="AX485" s="2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</row>
    <row r="486" spans="1:74" x14ac:dyDescent="0.25">
      <c r="A486" s="25">
        <v>482</v>
      </c>
      <c r="B486" s="23" t="s">
        <v>1297</v>
      </c>
      <c r="C486" s="23" t="s">
        <v>1290</v>
      </c>
      <c r="D486" s="26" t="s">
        <v>1107</v>
      </c>
      <c r="E486" s="23">
        <v>14</v>
      </c>
      <c r="F486" s="23" t="s">
        <v>108</v>
      </c>
      <c r="G486" s="23">
        <f>VLOOKUP(C486,[2]Sheet2!$T$3:$V$92,3,FALSE)</f>
        <v>71</v>
      </c>
      <c r="H486" s="23" t="s">
        <v>68</v>
      </c>
      <c r="I486" s="23" t="s">
        <v>436</v>
      </c>
      <c r="J486" s="23"/>
      <c r="K486" s="6">
        <v>0.7</v>
      </c>
      <c r="L486" s="23" t="s">
        <v>574</v>
      </c>
      <c r="M486" s="23"/>
      <c r="N486" s="23"/>
      <c r="O486" s="23" t="e">
        <f t="shared" si="89"/>
        <v>#VALUE!</v>
      </c>
      <c r="P486" s="23"/>
      <c r="Q486" s="23"/>
      <c r="R486" s="27"/>
      <c r="S486" s="27"/>
      <c r="T486" s="23">
        <v>50745658</v>
      </c>
      <c r="U486" s="28">
        <v>4320399020659</v>
      </c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 t="s">
        <v>41</v>
      </c>
      <c r="AN486" s="32" t="s">
        <v>58</v>
      </c>
      <c r="AO486" s="32" t="s">
        <v>58</v>
      </c>
      <c r="AP486" s="32" t="s">
        <v>58</v>
      </c>
      <c r="AQ486" s="23"/>
      <c r="AR486" s="23"/>
      <c r="AS486" s="23" t="str">
        <f>IF(AND(AN486="Yes", AO486="Yes", AP486="Yes"), "Yes", IF(AND(AN486="", AO486="", AP486=""), "No", "Incomplete"))</f>
        <v>Yes</v>
      </c>
      <c r="AT486" s="29" t="str">
        <f t="shared" si="84"/>
        <v>Yes</v>
      </c>
      <c r="AU486" s="30"/>
      <c r="AV486" s="31"/>
      <c r="AW486" s="31" t="s">
        <v>59</v>
      </c>
      <c r="AX486" s="2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</row>
    <row r="487" spans="1:74" x14ac:dyDescent="0.25">
      <c r="A487" s="25">
        <v>483</v>
      </c>
      <c r="B487" s="23" t="s">
        <v>1298</v>
      </c>
      <c r="C487" s="23" t="s">
        <v>1290</v>
      </c>
      <c r="D487" s="26" t="s">
        <v>1299</v>
      </c>
      <c r="E487" s="23">
        <v>13</v>
      </c>
      <c r="F487" s="23" t="s">
        <v>131</v>
      </c>
      <c r="G487" s="23">
        <f>VLOOKUP(C487,[2]Sheet2!$T$3:$V$92,3,FALSE)</f>
        <v>71</v>
      </c>
      <c r="H487" s="23" t="s">
        <v>68</v>
      </c>
      <c r="I487" s="23" t="s">
        <v>436</v>
      </c>
      <c r="J487" s="23"/>
      <c r="K487" s="6">
        <v>0.56999999999999995</v>
      </c>
      <c r="L487" s="23" t="s">
        <v>376</v>
      </c>
      <c r="M487" s="23"/>
      <c r="N487" s="23"/>
      <c r="O487" s="23" t="e">
        <f t="shared" si="89"/>
        <v>#VALUE!</v>
      </c>
      <c r="P487" s="23"/>
      <c r="Q487" s="23"/>
      <c r="R487" s="27"/>
      <c r="S487" s="27"/>
      <c r="T487" s="23">
        <v>10444463</v>
      </c>
      <c r="U487" s="28">
        <v>4130314943955</v>
      </c>
      <c r="V487" s="23"/>
      <c r="W487" s="23" t="s">
        <v>212</v>
      </c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 t="s">
        <v>42</v>
      </c>
      <c r="AN487" s="23" t="s">
        <v>58</v>
      </c>
      <c r="AO487" s="23" t="s">
        <v>58</v>
      </c>
      <c r="AP487" s="23" t="s">
        <v>58</v>
      </c>
      <c r="AQ487" s="23" t="s">
        <v>58</v>
      </c>
      <c r="AR487" s="23"/>
      <c r="AS487" s="23" t="str">
        <f>IF(AND(AN487="Yes", AO487="Yes"), "Yes", IF(AND(AN487="", AO487=""), "No", "Incomplete"))</f>
        <v>Yes</v>
      </c>
      <c r="AT487" s="29" t="str">
        <f t="shared" si="84"/>
        <v>Yes</v>
      </c>
      <c r="AU487" s="30"/>
      <c r="AV487" s="31"/>
      <c r="AW487" s="31" t="s">
        <v>59</v>
      </c>
      <c r="AX487" s="2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</row>
    <row r="488" spans="1:74" x14ac:dyDescent="0.25">
      <c r="A488" s="25">
        <v>484</v>
      </c>
      <c r="B488" s="23" t="s">
        <v>1300</v>
      </c>
      <c r="C488" s="23" t="s">
        <v>1290</v>
      </c>
      <c r="D488" s="26" t="s">
        <v>1301</v>
      </c>
      <c r="E488" s="23">
        <v>11</v>
      </c>
      <c r="F488" s="23" t="s">
        <v>138</v>
      </c>
      <c r="G488" s="23">
        <f>VLOOKUP(C488,[2]Sheet2!$T$3:$V$92,3,FALSE)</f>
        <v>71</v>
      </c>
      <c r="H488" s="23" t="s">
        <v>68</v>
      </c>
      <c r="I488" s="23" t="s">
        <v>436</v>
      </c>
      <c r="J488" s="23"/>
      <c r="K488" s="6">
        <v>0.65</v>
      </c>
      <c r="L488" s="23" t="s">
        <v>427</v>
      </c>
      <c r="M488" s="23"/>
      <c r="N488" s="23"/>
      <c r="O488" s="23" t="e">
        <f t="shared" si="89"/>
        <v>#VALUE!</v>
      </c>
      <c r="P488" s="23"/>
      <c r="Q488" s="23"/>
      <c r="R488" s="27"/>
      <c r="S488" s="27"/>
      <c r="T488" s="23">
        <v>10627018</v>
      </c>
      <c r="U488" s="28">
        <v>4230129318679</v>
      </c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 t="s">
        <v>39</v>
      </c>
      <c r="AN488" s="32" t="s">
        <v>58</v>
      </c>
      <c r="AO488" s="23"/>
      <c r="AP488" s="23"/>
      <c r="AQ488" s="23"/>
      <c r="AR488" s="23"/>
      <c r="AS488" s="23" t="str">
        <f t="shared" ref="AS488:AS493" si="90">IF(AND(AN488="Yes"), "Yes", IF(AND(AN488=""), "No", "Incomplete"))</f>
        <v>Yes</v>
      </c>
      <c r="AT488" s="29" t="str">
        <f t="shared" si="84"/>
        <v>Yes</v>
      </c>
      <c r="AU488" s="30"/>
      <c r="AV488" s="31"/>
      <c r="AW488" s="31" t="s">
        <v>59</v>
      </c>
      <c r="AX488" s="2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</row>
    <row r="489" spans="1:74" x14ac:dyDescent="0.25">
      <c r="A489" s="25">
        <v>485</v>
      </c>
      <c r="B489" s="23" t="s">
        <v>1302</v>
      </c>
      <c r="C489" s="23" t="s">
        <v>1290</v>
      </c>
      <c r="D489" s="26" t="s">
        <v>66</v>
      </c>
      <c r="E489" s="23">
        <v>11</v>
      </c>
      <c r="F489" s="23" t="s">
        <v>138</v>
      </c>
      <c r="G489" s="23">
        <f>VLOOKUP(C489,[2]Sheet2!$T$3:$V$92,3,FALSE)</f>
        <v>71</v>
      </c>
      <c r="H489" s="23" t="s">
        <v>68</v>
      </c>
      <c r="I489" s="23" t="s">
        <v>436</v>
      </c>
      <c r="J489" s="23"/>
      <c r="K489" s="6">
        <v>0</v>
      </c>
      <c r="L489" s="23"/>
      <c r="M489" s="23"/>
      <c r="N489" s="23"/>
      <c r="O489" s="23" t="e">
        <f t="shared" si="89"/>
        <v>#VALUE!</v>
      </c>
      <c r="P489" s="23"/>
      <c r="Q489" s="23"/>
      <c r="R489" s="27"/>
      <c r="S489" s="27"/>
      <c r="T489" s="23"/>
      <c r="U489" s="28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 t="s">
        <v>66</v>
      </c>
      <c r="AN489" s="23"/>
      <c r="AO489" s="23"/>
      <c r="AP489" s="23"/>
      <c r="AQ489" s="23"/>
      <c r="AR489" s="23"/>
      <c r="AS489" s="23" t="str">
        <f t="shared" si="90"/>
        <v>No</v>
      </c>
      <c r="AT489" s="29" t="str">
        <f t="shared" si="84"/>
        <v>Vacant</v>
      </c>
      <c r="AU489" s="30"/>
      <c r="AV489" s="31"/>
      <c r="AW489" s="31"/>
      <c r="AX489" s="2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</row>
    <row r="490" spans="1:74" x14ac:dyDescent="0.25">
      <c r="A490" s="25">
        <v>486</v>
      </c>
      <c r="B490" s="23" t="s">
        <v>1303</v>
      </c>
      <c r="C490" s="23" t="s">
        <v>1290</v>
      </c>
      <c r="D490" s="26" t="s">
        <v>1304</v>
      </c>
      <c r="E490" s="23">
        <v>7</v>
      </c>
      <c r="F490" s="23" t="s">
        <v>264</v>
      </c>
      <c r="G490" s="23">
        <f>VLOOKUP(C490,[2]Sheet2!$T$3:$V$92,3,FALSE)</f>
        <v>71</v>
      </c>
      <c r="H490" s="23" t="s">
        <v>68</v>
      </c>
      <c r="I490" s="23" t="s">
        <v>436</v>
      </c>
      <c r="J490" s="23"/>
      <c r="K490" s="6">
        <v>0.63</v>
      </c>
      <c r="L490" s="23" t="s">
        <v>427</v>
      </c>
      <c r="M490" s="23"/>
      <c r="N490" s="23"/>
      <c r="O490" s="23" t="e">
        <f t="shared" si="89"/>
        <v>#VALUE!</v>
      </c>
      <c r="P490" s="23"/>
      <c r="Q490" s="23"/>
      <c r="R490" s="27"/>
      <c r="S490" s="27"/>
      <c r="T490" s="23">
        <v>10401257</v>
      </c>
      <c r="U490" s="28">
        <v>4140955748969</v>
      </c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 t="s">
        <v>73</v>
      </c>
      <c r="AN490" s="23"/>
      <c r="AO490" s="23"/>
      <c r="AP490" s="23"/>
      <c r="AQ490" s="23"/>
      <c r="AR490" s="23"/>
      <c r="AS490" s="23" t="str">
        <f t="shared" si="90"/>
        <v>No</v>
      </c>
      <c r="AT490" s="29" t="str">
        <f t="shared" si="84"/>
        <v>NA</v>
      </c>
      <c r="AU490" s="30"/>
      <c r="AV490" s="31"/>
      <c r="AW490" s="31" t="s">
        <v>59</v>
      </c>
      <c r="AX490" s="2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</row>
    <row r="491" spans="1:74" x14ac:dyDescent="0.25">
      <c r="A491" s="25">
        <v>487</v>
      </c>
      <c r="B491" s="23" t="s">
        <v>1305</v>
      </c>
      <c r="C491" s="23" t="s">
        <v>1290</v>
      </c>
      <c r="D491" s="26" t="s">
        <v>1306</v>
      </c>
      <c r="E491" s="23">
        <v>5</v>
      </c>
      <c r="F491" s="23" t="s">
        <v>71</v>
      </c>
      <c r="G491" s="23">
        <f>VLOOKUP(C491,[2]Sheet2!$T$3:$V$92,3,FALSE)</f>
        <v>71</v>
      </c>
      <c r="H491" s="23" t="s">
        <v>68</v>
      </c>
      <c r="I491" s="23" t="s">
        <v>436</v>
      </c>
      <c r="J491" s="23"/>
      <c r="K491" s="6">
        <v>0.67</v>
      </c>
      <c r="L491" s="23" t="s">
        <v>427</v>
      </c>
      <c r="M491" s="23"/>
      <c r="N491" s="23"/>
      <c r="O491" s="23" t="e">
        <f t="shared" si="89"/>
        <v>#VALUE!</v>
      </c>
      <c r="P491" s="23"/>
      <c r="Q491" s="23"/>
      <c r="R491" s="27"/>
      <c r="S491" s="27"/>
      <c r="T491" s="23">
        <v>10304704</v>
      </c>
      <c r="U491" s="28">
        <v>4240178984749</v>
      </c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 t="s">
        <v>73</v>
      </c>
      <c r="AN491" s="23"/>
      <c r="AO491" s="23"/>
      <c r="AP491" s="23"/>
      <c r="AQ491" s="23"/>
      <c r="AR491" s="23"/>
      <c r="AS491" s="23" t="str">
        <f t="shared" si="90"/>
        <v>No</v>
      </c>
      <c r="AT491" s="29" t="str">
        <f t="shared" si="84"/>
        <v>NA</v>
      </c>
      <c r="AU491" s="30"/>
      <c r="AV491" s="31"/>
      <c r="AW491" s="31" t="s">
        <v>59</v>
      </c>
      <c r="AX491" s="2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</row>
    <row r="492" spans="1:74" x14ac:dyDescent="0.25">
      <c r="A492" s="25">
        <v>488</v>
      </c>
      <c r="B492" s="23" t="s">
        <v>1307</v>
      </c>
      <c r="C492" s="23" t="s">
        <v>1290</v>
      </c>
      <c r="D492" s="26" t="s">
        <v>1308</v>
      </c>
      <c r="E492" s="23">
        <v>5</v>
      </c>
      <c r="F492" s="23" t="s">
        <v>71</v>
      </c>
      <c r="G492" s="23">
        <f>VLOOKUP(C492,[2]Sheet2!$T$3:$V$92,3,FALSE)</f>
        <v>71</v>
      </c>
      <c r="H492" s="23" t="s">
        <v>68</v>
      </c>
      <c r="I492" s="23" t="s">
        <v>436</v>
      </c>
      <c r="J492" s="23"/>
      <c r="K492" s="6">
        <v>0.57999999999999996</v>
      </c>
      <c r="L492" s="23" t="s">
        <v>376</v>
      </c>
      <c r="M492" s="23"/>
      <c r="N492" s="23"/>
      <c r="O492" s="23" t="e">
        <f t="shared" si="89"/>
        <v>#VALUE!</v>
      </c>
      <c r="P492" s="23"/>
      <c r="Q492" s="23"/>
      <c r="R492" s="27"/>
      <c r="S492" s="27"/>
      <c r="T492" s="23">
        <v>10401271</v>
      </c>
      <c r="U492" s="28">
        <v>4140946363179</v>
      </c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 t="s">
        <v>73</v>
      </c>
      <c r="AN492" s="23"/>
      <c r="AO492" s="23"/>
      <c r="AP492" s="23"/>
      <c r="AQ492" s="23"/>
      <c r="AR492" s="23"/>
      <c r="AS492" s="23" t="str">
        <f t="shared" si="90"/>
        <v>No</v>
      </c>
      <c r="AT492" s="29" t="str">
        <f t="shared" si="84"/>
        <v>NA</v>
      </c>
      <c r="AU492" s="30"/>
      <c r="AV492" s="31"/>
      <c r="AW492" s="31" t="s">
        <v>59</v>
      </c>
      <c r="AX492" s="2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</row>
    <row r="493" spans="1:74" x14ac:dyDescent="0.25">
      <c r="A493" s="25">
        <v>489</v>
      </c>
      <c r="B493" s="23" t="s">
        <v>1309</v>
      </c>
      <c r="C493" s="23" t="s">
        <v>1290</v>
      </c>
      <c r="D493" s="26" t="s">
        <v>1310</v>
      </c>
      <c r="E493" s="23">
        <v>4</v>
      </c>
      <c r="F493" s="23" t="s">
        <v>161</v>
      </c>
      <c r="G493" s="23">
        <f>VLOOKUP(C493,[2]Sheet2!$T$3:$V$92,3,FALSE)</f>
        <v>71</v>
      </c>
      <c r="H493" s="23" t="s">
        <v>68</v>
      </c>
      <c r="I493" s="23" t="s">
        <v>436</v>
      </c>
      <c r="J493" s="23"/>
      <c r="K493" s="6">
        <v>0.57999999999999996</v>
      </c>
      <c r="L493" s="23" t="s">
        <v>376</v>
      </c>
      <c r="M493" s="63" t="s">
        <v>1279</v>
      </c>
      <c r="N493" s="63"/>
      <c r="O493" s="23" t="e">
        <f t="shared" si="89"/>
        <v>#VALUE!</v>
      </c>
      <c r="P493" s="63"/>
      <c r="Q493" s="63"/>
      <c r="R493" s="64">
        <v>41456</v>
      </c>
      <c r="S493" s="64">
        <v>41456</v>
      </c>
      <c r="T493" s="23">
        <v>50185249</v>
      </c>
      <c r="U493" s="28">
        <v>4140972266415</v>
      </c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 t="s">
        <v>73</v>
      </c>
      <c r="AN493" s="23"/>
      <c r="AO493" s="23"/>
      <c r="AP493" s="23"/>
      <c r="AQ493" s="23"/>
      <c r="AR493" s="23"/>
      <c r="AS493" s="23" t="str">
        <f t="shared" si="90"/>
        <v>No</v>
      </c>
      <c r="AT493" s="29" t="str">
        <f t="shared" si="84"/>
        <v>NA</v>
      </c>
      <c r="AU493" s="30"/>
      <c r="AV493" s="31"/>
      <c r="AW493" s="31" t="s">
        <v>59</v>
      </c>
      <c r="AX493" s="2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</row>
    <row r="494" spans="1:74" x14ac:dyDescent="0.25">
      <c r="A494" s="25">
        <v>490</v>
      </c>
      <c r="B494" s="23" t="s">
        <v>1311</v>
      </c>
      <c r="C494" s="23" t="s">
        <v>1312</v>
      </c>
      <c r="D494" s="26" t="s">
        <v>1313</v>
      </c>
      <c r="E494" s="23">
        <v>18</v>
      </c>
      <c r="F494" s="23" t="s">
        <v>440</v>
      </c>
      <c r="G494" s="23">
        <f>VLOOKUP(C494,[2]Sheet2!$T$3:$V$92,3,FALSE)</f>
        <v>72</v>
      </c>
      <c r="H494" s="23" t="s">
        <v>54</v>
      </c>
      <c r="I494" s="23" t="s">
        <v>436</v>
      </c>
      <c r="J494" s="23"/>
      <c r="L494" s="23"/>
      <c r="M494" s="23"/>
      <c r="N494" s="23" t="s">
        <v>56</v>
      </c>
      <c r="O494" s="23" t="e">
        <f ca="1">IF(ISNUMBER(SEARCH("to", N494)),
_xlfn.LET(
    _xlpm.text_n3, N494,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494" s="23"/>
      <c r="Q494" s="23" t="s">
        <v>57</v>
      </c>
      <c r="R494" s="27"/>
      <c r="S494" s="27"/>
      <c r="T494" s="23">
        <v>10261034</v>
      </c>
      <c r="U494" s="28">
        <v>4550224384189</v>
      </c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 t="s">
        <v>42</v>
      </c>
      <c r="AN494" s="23"/>
      <c r="AO494" s="23"/>
      <c r="AP494" s="32" t="s">
        <v>58</v>
      </c>
      <c r="AQ494" s="32" t="s">
        <v>58</v>
      </c>
      <c r="AR494" s="23"/>
      <c r="AS494" s="23" t="str">
        <f t="shared" ref="AS494:AS499" si="91">IF(AND(AN494="Yes", AO494="Yes", AP494="Yes"), "Yes", IF(AND(AN494="", AO494="", AP494=""), "No", "Incomplete"))</f>
        <v>Incomplete</v>
      </c>
      <c r="AT494" s="29" t="str">
        <f t="shared" si="84"/>
        <v>Yes</v>
      </c>
      <c r="AU494" s="30"/>
      <c r="AV494" s="31"/>
      <c r="AW494" s="31" t="s">
        <v>59</v>
      </c>
      <c r="AX494" s="2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</row>
    <row r="495" spans="1:74" x14ac:dyDescent="0.25">
      <c r="A495" s="25">
        <v>491</v>
      </c>
      <c r="B495" s="23" t="s">
        <v>1314</v>
      </c>
      <c r="C495" s="23" t="s">
        <v>1312</v>
      </c>
      <c r="D495" s="26" t="s">
        <v>66</v>
      </c>
      <c r="E495" s="23">
        <v>17</v>
      </c>
      <c r="F495" s="23" t="s">
        <v>586</v>
      </c>
      <c r="G495" s="23">
        <f>VLOOKUP(C495,[2]Sheet2!$T$3:$V$92,3,FALSE)</f>
        <v>72</v>
      </c>
      <c r="H495" s="23" t="s">
        <v>54</v>
      </c>
      <c r="I495" s="23" t="s">
        <v>436</v>
      </c>
      <c r="J495" s="23"/>
      <c r="L495" s="23"/>
      <c r="M495" s="23"/>
      <c r="N495" s="23"/>
      <c r="O495" s="23" t="str">
        <f>IF(ISNUMBER(SEARCH("to", N495)),
_xlfn.LET(
    _xlpm.first_line, LEFT(N495, IFERROR(SEARCH(CHAR(10), N495)-1, LEN(N495))),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495" s="23"/>
      <c r="Q495" s="23"/>
      <c r="R495" s="27"/>
      <c r="S495" s="27"/>
      <c r="T495" s="23"/>
      <c r="U495" s="28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 t="s">
        <v>66</v>
      </c>
      <c r="AN495" s="23"/>
      <c r="AO495" s="23"/>
      <c r="AP495" s="23"/>
      <c r="AQ495" s="23"/>
      <c r="AR495" s="23"/>
      <c r="AS495" s="23" t="str">
        <f t="shared" si="91"/>
        <v>No</v>
      </c>
      <c r="AT495" s="29" t="str">
        <f t="shared" si="84"/>
        <v>Vacant</v>
      </c>
      <c r="AU495" s="30"/>
      <c r="AV495" s="31"/>
      <c r="AW495" s="31"/>
      <c r="AX495" s="2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</row>
    <row r="496" spans="1:74" x14ac:dyDescent="0.25">
      <c r="A496" s="25">
        <v>492</v>
      </c>
      <c r="B496" s="23" t="s">
        <v>1315</v>
      </c>
      <c r="C496" s="23" t="s">
        <v>1312</v>
      </c>
      <c r="D496" s="26" t="s">
        <v>1316</v>
      </c>
      <c r="E496" s="23">
        <v>15</v>
      </c>
      <c r="F496" s="23" t="s">
        <v>67</v>
      </c>
      <c r="G496" s="23">
        <f>VLOOKUP(C496,[2]Sheet2!$T$3:$V$92,3,FALSE)</f>
        <v>72</v>
      </c>
      <c r="H496" s="23" t="s">
        <v>68</v>
      </c>
      <c r="I496" s="23" t="s">
        <v>436</v>
      </c>
      <c r="J496" s="23"/>
      <c r="K496" s="6">
        <v>0.68</v>
      </c>
      <c r="L496" s="23" t="s">
        <v>427</v>
      </c>
      <c r="M496" s="23"/>
      <c r="N496" s="23"/>
      <c r="O496" s="23" t="e">
        <f t="shared" ref="O496:O508" si="92">IF(DATEVALUE(MID(N496,15,10))-DATEVALUE(LEFT(N496,10))+1&gt;=365,"1 Year",
DATEDIF(DATEVALUE(LEFT(N496,10)),DATEVALUE(MID(N496,15,10)),"Y")&amp;" Years, "&amp;DATEDIF(DATEVALUE(LEFT(N496,10)),DATEVALUE(MID(N496,15,10)),"YM")&amp;" Months, "&amp;DATEDIF(DATEVALUE(LEFT(N496,10)),DATEVALUE(MID(N496,15,10)),"MD")&amp;" Days")</f>
        <v>#VALUE!</v>
      </c>
      <c r="P496" s="23"/>
      <c r="Q496" s="23"/>
      <c r="R496" s="27"/>
      <c r="S496" s="27"/>
      <c r="T496" s="23">
        <v>50188231</v>
      </c>
      <c r="U496" s="28">
        <v>4160106261987</v>
      </c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 t="s">
        <v>42</v>
      </c>
      <c r="AN496" s="32" t="s">
        <v>58</v>
      </c>
      <c r="AO496" s="32" t="s">
        <v>58</v>
      </c>
      <c r="AP496" s="32" t="s">
        <v>58</v>
      </c>
      <c r="AQ496" s="32" t="s">
        <v>58</v>
      </c>
      <c r="AR496" s="23"/>
      <c r="AS496" s="23" t="str">
        <f t="shared" si="91"/>
        <v>Yes</v>
      </c>
      <c r="AT496" s="29" t="str">
        <f t="shared" si="84"/>
        <v>Yes</v>
      </c>
      <c r="AU496" s="30"/>
      <c r="AV496" s="31"/>
      <c r="AW496" s="31" t="s">
        <v>59</v>
      </c>
      <c r="AX496" s="2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</row>
    <row r="497" spans="1:74" x14ac:dyDescent="0.25">
      <c r="A497" s="25">
        <v>493</v>
      </c>
      <c r="B497" s="23" t="s">
        <v>1317</v>
      </c>
      <c r="C497" s="23" t="s">
        <v>1312</v>
      </c>
      <c r="D497" s="41" t="s">
        <v>1318</v>
      </c>
      <c r="E497" s="23">
        <v>14</v>
      </c>
      <c r="F497" s="23" t="s">
        <v>108</v>
      </c>
      <c r="G497" s="23">
        <f>VLOOKUP(C497,[2]Sheet2!$T$3:$V$92,3,FALSE)</f>
        <v>72</v>
      </c>
      <c r="H497" s="23" t="s">
        <v>68</v>
      </c>
      <c r="I497" s="23" t="s">
        <v>436</v>
      </c>
      <c r="J497" s="23"/>
      <c r="K497" s="6">
        <v>0</v>
      </c>
      <c r="L497" s="23"/>
      <c r="M497" s="23"/>
      <c r="N497" s="23"/>
      <c r="O497" s="23" t="e">
        <f t="shared" si="92"/>
        <v>#VALUE!</v>
      </c>
      <c r="P497" s="23"/>
      <c r="Q497" s="23"/>
      <c r="R497" s="27"/>
      <c r="S497" s="27"/>
      <c r="T497" s="23"/>
      <c r="U497" s="28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 t="s">
        <v>41</v>
      </c>
      <c r="AN497" s="32" t="s">
        <v>58</v>
      </c>
      <c r="AO497" s="32" t="s">
        <v>58</v>
      </c>
      <c r="AP497" s="23"/>
      <c r="AQ497" s="23"/>
      <c r="AR497" s="23"/>
      <c r="AS497" s="23" t="str">
        <f t="shared" si="91"/>
        <v>Incomplete</v>
      </c>
      <c r="AT497" s="29" t="str">
        <f t="shared" si="84"/>
        <v>No</v>
      </c>
      <c r="AU497" s="30"/>
      <c r="AV497" s="31"/>
      <c r="AW497" s="31"/>
      <c r="AX497" s="2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</row>
    <row r="498" spans="1:74" x14ac:dyDescent="0.25">
      <c r="A498" s="25">
        <v>494</v>
      </c>
      <c r="B498" s="23" t="s">
        <v>1319</v>
      </c>
      <c r="C498" s="23" t="s">
        <v>1312</v>
      </c>
      <c r="D498" s="26" t="s">
        <v>66</v>
      </c>
      <c r="E498" s="23">
        <v>14</v>
      </c>
      <c r="F498" s="23" t="s">
        <v>108</v>
      </c>
      <c r="G498" s="23">
        <f>VLOOKUP(C498,[2]Sheet2!$T$3:$V$92,3,FALSE)</f>
        <v>72</v>
      </c>
      <c r="H498" s="23" t="s">
        <v>68</v>
      </c>
      <c r="I498" s="23" t="s">
        <v>436</v>
      </c>
      <c r="J498" s="23"/>
      <c r="K498" s="6">
        <v>0</v>
      </c>
      <c r="L498" s="23"/>
      <c r="M498" s="23"/>
      <c r="N498" s="23"/>
      <c r="O498" s="23" t="e">
        <f t="shared" si="92"/>
        <v>#VALUE!</v>
      </c>
      <c r="P498" s="23"/>
      <c r="Q498" s="23"/>
      <c r="R498" s="27"/>
      <c r="S498" s="27"/>
      <c r="T498" s="23"/>
      <c r="U498" s="28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 t="s">
        <v>66</v>
      </c>
      <c r="AN498" s="23"/>
      <c r="AO498" s="23"/>
      <c r="AP498" s="23"/>
      <c r="AQ498" s="23"/>
      <c r="AR498" s="23"/>
      <c r="AS498" s="23" t="str">
        <f t="shared" si="91"/>
        <v>No</v>
      </c>
      <c r="AT498" s="29" t="str">
        <f t="shared" si="84"/>
        <v>Vacant</v>
      </c>
      <c r="AU498" s="30"/>
      <c r="AV498" s="31"/>
      <c r="AW498" s="31"/>
      <c r="AX498" s="2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</row>
    <row r="499" spans="1:74" x14ac:dyDescent="0.25">
      <c r="A499" s="25">
        <v>495</v>
      </c>
      <c r="B499" s="23" t="s">
        <v>1320</v>
      </c>
      <c r="C499" s="23" t="s">
        <v>1312</v>
      </c>
      <c r="D499" s="26" t="s">
        <v>370</v>
      </c>
      <c r="E499" s="23">
        <v>14</v>
      </c>
      <c r="F499" s="23" t="s">
        <v>108</v>
      </c>
      <c r="G499" s="23">
        <f>VLOOKUP(C499,[2]Sheet2!$T$3:$V$92,3,FALSE)</f>
        <v>72</v>
      </c>
      <c r="H499" s="23" t="s">
        <v>68</v>
      </c>
      <c r="I499" s="23" t="s">
        <v>436</v>
      </c>
      <c r="J499" s="23"/>
      <c r="K499" s="6">
        <v>0.67</v>
      </c>
      <c r="L499" s="23" t="s">
        <v>574</v>
      </c>
      <c r="M499" s="23"/>
      <c r="N499" s="23"/>
      <c r="O499" s="23" t="e">
        <f t="shared" si="92"/>
        <v>#VALUE!</v>
      </c>
      <c r="P499" s="23"/>
      <c r="Q499" s="23"/>
      <c r="R499" s="27"/>
      <c r="S499" s="27"/>
      <c r="T499" s="23">
        <v>50751229</v>
      </c>
      <c r="U499" s="28">
        <v>4550412092197</v>
      </c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 t="s">
        <v>42</v>
      </c>
      <c r="AN499" s="23" t="s">
        <v>58</v>
      </c>
      <c r="AO499" s="23" t="s">
        <v>58</v>
      </c>
      <c r="AP499" s="32" t="s">
        <v>58</v>
      </c>
      <c r="AQ499" s="32" t="s">
        <v>58</v>
      </c>
      <c r="AR499" s="23"/>
      <c r="AS499" s="23" t="str">
        <f t="shared" si="91"/>
        <v>Yes</v>
      </c>
      <c r="AT499" s="29" t="str">
        <f t="shared" si="84"/>
        <v>Yes</v>
      </c>
      <c r="AU499" s="30"/>
      <c r="AV499" s="31"/>
      <c r="AW499" s="31" t="s">
        <v>59</v>
      </c>
      <c r="AX499" s="2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</row>
    <row r="500" spans="1:74" x14ac:dyDescent="0.25">
      <c r="A500" s="25">
        <v>496</v>
      </c>
      <c r="B500" s="23" t="s">
        <v>1321</v>
      </c>
      <c r="C500" s="23" t="s">
        <v>1312</v>
      </c>
      <c r="D500" s="26" t="s">
        <v>1322</v>
      </c>
      <c r="E500" s="23">
        <v>13</v>
      </c>
      <c r="F500" s="23" t="s">
        <v>131</v>
      </c>
      <c r="G500" s="23">
        <f>VLOOKUP(C500,[2]Sheet2!$T$3:$V$92,3,FALSE)</f>
        <v>72</v>
      </c>
      <c r="H500" s="23" t="s">
        <v>68</v>
      </c>
      <c r="I500" s="23" t="s">
        <v>436</v>
      </c>
      <c r="J500" s="23"/>
      <c r="K500" s="6">
        <v>0</v>
      </c>
      <c r="L500" s="23"/>
      <c r="M500" s="23"/>
      <c r="N500" s="23"/>
      <c r="O500" s="23" t="e">
        <f t="shared" si="92"/>
        <v>#VALUE!</v>
      </c>
      <c r="P500" s="23"/>
      <c r="Q500" s="23"/>
      <c r="R500" s="27">
        <v>45103</v>
      </c>
      <c r="S500" s="27">
        <v>45958</v>
      </c>
      <c r="T500" s="23">
        <v>50744557</v>
      </c>
      <c r="U500" s="28" t="s">
        <v>1323</v>
      </c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 t="s">
        <v>41</v>
      </c>
      <c r="AN500" s="32" t="s">
        <v>58</v>
      </c>
      <c r="AO500" s="32" t="s">
        <v>58</v>
      </c>
      <c r="AP500" s="32" t="s">
        <v>58</v>
      </c>
      <c r="AQ500" s="23"/>
      <c r="AR500" s="23"/>
      <c r="AS500" s="23" t="str">
        <f t="shared" ref="AS500:AS507" si="93">IF(AND(AN500="Yes"), "Yes", IF(AND(AN500=""), "No", "Incomplete"))</f>
        <v>Yes</v>
      </c>
      <c r="AT500" s="29" t="str">
        <f>IF(AM500="Matric",IF(AN500="Yes","Yes",IF(AN500="Under Process", "Under Process","No")),IF(AM500="Inter",IF(AO500="Yes","Yes",IF(AO500="Under Process", "Under Process","No")),IF(AM500="Bachelor",IF(AP500="Yes","Yes",IF(AP500="Under Process", "Under Process","No")),IF(AM500="Master",IF(AQ500="Yes","Yes",IF(AQ500="Under Process", "Under Process","No")),IF(AM500="Vacant",IF(D341="Yes","No","Vacant"),IF(AM500="NA",IF(D341="Yes","No","NA"),"No"))))))</f>
        <v>Yes</v>
      </c>
      <c r="AU500" s="30"/>
      <c r="AV500" s="31"/>
      <c r="AW500" s="31" t="s">
        <v>59</v>
      </c>
      <c r="AX500" s="2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</row>
    <row r="501" spans="1:74" x14ac:dyDescent="0.25">
      <c r="A501" s="25">
        <v>497</v>
      </c>
      <c r="B501" s="23" t="s">
        <v>1324</v>
      </c>
      <c r="C501" s="23" t="s">
        <v>1312</v>
      </c>
      <c r="D501" s="26" t="s">
        <v>1325</v>
      </c>
      <c r="E501" s="23">
        <v>11</v>
      </c>
      <c r="F501" s="23" t="s">
        <v>138</v>
      </c>
      <c r="G501" s="23">
        <f>VLOOKUP(C501,[2]Sheet2!$T$3:$V$92,3,FALSE)</f>
        <v>72</v>
      </c>
      <c r="H501" s="23" t="s">
        <v>68</v>
      </c>
      <c r="I501" s="23" t="s">
        <v>436</v>
      </c>
      <c r="J501" s="23"/>
      <c r="K501" s="6">
        <v>0.78</v>
      </c>
      <c r="L501" s="23" t="s">
        <v>574</v>
      </c>
      <c r="M501" s="23"/>
      <c r="N501" s="23"/>
      <c r="O501" s="23" t="e">
        <f t="shared" si="92"/>
        <v>#VALUE!</v>
      </c>
      <c r="P501" s="23"/>
      <c r="Q501" s="23"/>
      <c r="R501" s="27"/>
      <c r="S501" s="27"/>
      <c r="T501" s="23">
        <v>50396082</v>
      </c>
      <c r="U501" s="28">
        <v>4110316334359</v>
      </c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 t="s">
        <v>41</v>
      </c>
      <c r="AN501" s="32" t="s">
        <v>58</v>
      </c>
      <c r="AO501" s="32" t="s">
        <v>58</v>
      </c>
      <c r="AP501" s="32" t="s">
        <v>58</v>
      </c>
      <c r="AQ501" s="23"/>
      <c r="AR501" s="23"/>
      <c r="AS501" s="23" t="str">
        <f t="shared" si="93"/>
        <v>Yes</v>
      </c>
      <c r="AT501" s="29" t="str">
        <f t="shared" ref="AT501:AT520" si="94">IF(AM501="Matric",IF(AN501="Yes","Yes",IF(AN501="Under Process", "Under Process","No")),IF(AM501="Inter",IF(AO501="Yes","Yes",IF(AO501="Under Process", "Under Process","No")),IF(AM501="Bachelor",IF(AP501="Yes","Yes",IF(AP501="Under Process", "Under Process","No")),IF(AM501="Master",IF(AQ501="Yes","Yes",IF(AQ501="Under Process", "Under Process","No")),IF(AM501="Vacant",IF(D509="Yes","No","Vacant"),IF(AM501="NA",IF(D509="Yes","No","NA"),"No"))))))</f>
        <v>Yes</v>
      </c>
      <c r="AU501" s="30"/>
      <c r="AV501" s="31"/>
      <c r="AW501" s="31" t="s">
        <v>59</v>
      </c>
      <c r="AX501" s="2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</row>
    <row r="502" spans="1:74" x14ac:dyDescent="0.25">
      <c r="A502" s="25">
        <v>498</v>
      </c>
      <c r="B502" s="23" t="s">
        <v>1326</v>
      </c>
      <c r="C502" s="23" t="s">
        <v>1312</v>
      </c>
      <c r="D502" s="26" t="s">
        <v>1327</v>
      </c>
      <c r="E502" s="23">
        <v>11</v>
      </c>
      <c r="F502" s="23" t="s">
        <v>138</v>
      </c>
      <c r="G502" s="23">
        <f>VLOOKUP(C502,[2]Sheet2!$T$3:$V$92,3,FALSE)</f>
        <v>72</v>
      </c>
      <c r="H502" s="23" t="s">
        <v>68</v>
      </c>
      <c r="I502" s="23" t="s">
        <v>436</v>
      </c>
      <c r="J502" s="23"/>
      <c r="K502" s="6">
        <v>0.72</v>
      </c>
      <c r="L502" s="23" t="s">
        <v>574</v>
      </c>
      <c r="M502" s="23"/>
      <c r="N502" s="23"/>
      <c r="O502" s="23" t="e">
        <f t="shared" si="92"/>
        <v>#VALUE!</v>
      </c>
      <c r="P502" s="23"/>
      <c r="Q502" s="23"/>
      <c r="R502" s="27"/>
      <c r="S502" s="27"/>
      <c r="T502" s="23">
        <v>50701645</v>
      </c>
      <c r="U502" s="28">
        <v>4180206133913</v>
      </c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 t="s">
        <v>42</v>
      </c>
      <c r="AN502" s="23" t="s">
        <v>58</v>
      </c>
      <c r="AO502" s="23" t="s">
        <v>58</v>
      </c>
      <c r="AP502" s="32" t="s">
        <v>58</v>
      </c>
      <c r="AQ502" s="32" t="s">
        <v>58</v>
      </c>
      <c r="AR502" s="23"/>
      <c r="AS502" s="23" t="str">
        <f t="shared" si="93"/>
        <v>Yes</v>
      </c>
      <c r="AT502" s="29" t="str">
        <f t="shared" si="94"/>
        <v>Yes</v>
      </c>
      <c r="AU502" s="30"/>
      <c r="AV502" s="31"/>
      <c r="AW502" s="31" t="s">
        <v>59</v>
      </c>
      <c r="AX502" s="2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</row>
    <row r="503" spans="1:74" x14ac:dyDescent="0.25">
      <c r="A503" s="25">
        <v>499</v>
      </c>
      <c r="B503" s="23" t="s">
        <v>1328</v>
      </c>
      <c r="C503" s="23" t="s">
        <v>1312</v>
      </c>
      <c r="D503" s="26" t="s">
        <v>1329</v>
      </c>
      <c r="E503" s="23">
        <v>7</v>
      </c>
      <c r="F503" s="23" t="s">
        <v>264</v>
      </c>
      <c r="G503" s="23">
        <f>VLOOKUP(C503,[2]Sheet2!$T$3:$V$92,3,FALSE)</f>
        <v>72</v>
      </c>
      <c r="H503" s="23" t="s">
        <v>68</v>
      </c>
      <c r="I503" s="23" t="s">
        <v>436</v>
      </c>
      <c r="J503" s="23"/>
      <c r="K503" s="6">
        <v>0.57999999999999996</v>
      </c>
      <c r="L503" s="23" t="s">
        <v>376</v>
      </c>
      <c r="M503" s="23"/>
      <c r="N503" s="23"/>
      <c r="O503" s="23" t="e">
        <f t="shared" si="92"/>
        <v>#VALUE!</v>
      </c>
      <c r="P503" s="23"/>
      <c r="Q503" s="23"/>
      <c r="R503" s="27"/>
      <c r="S503" s="27"/>
      <c r="T503" s="23">
        <v>50552473</v>
      </c>
      <c r="U503" s="28">
        <v>4110186963239</v>
      </c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 t="s">
        <v>40</v>
      </c>
      <c r="AN503" s="23" t="s">
        <v>121</v>
      </c>
      <c r="AO503" s="32" t="s">
        <v>58</v>
      </c>
      <c r="AP503" s="23"/>
      <c r="AQ503" s="23"/>
      <c r="AR503" s="23"/>
      <c r="AS503" s="23" t="str">
        <f t="shared" si="93"/>
        <v>Incomplete</v>
      </c>
      <c r="AT503" s="29" t="str">
        <f t="shared" si="94"/>
        <v>Yes</v>
      </c>
      <c r="AU503" s="30"/>
      <c r="AV503" s="31"/>
      <c r="AW503" s="31" t="s">
        <v>59</v>
      </c>
      <c r="AX503" s="2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</row>
    <row r="504" spans="1:74" x14ac:dyDescent="0.25">
      <c r="A504" s="25">
        <v>500</v>
      </c>
      <c r="B504" s="23" t="s">
        <v>1330</v>
      </c>
      <c r="C504" s="23" t="s">
        <v>1312</v>
      </c>
      <c r="D504" s="26" t="s">
        <v>1331</v>
      </c>
      <c r="E504" s="23">
        <v>4</v>
      </c>
      <c r="F504" s="23" t="s">
        <v>161</v>
      </c>
      <c r="G504" s="23">
        <f>VLOOKUP(C504,[2]Sheet2!$T$3:$V$92,3,FALSE)</f>
        <v>72</v>
      </c>
      <c r="H504" s="23" t="s">
        <v>68</v>
      </c>
      <c r="I504" s="23" t="s">
        <v>436</v>
      </c>
      <c r="J504" s="23"/>
      <c r="K504" s="6">
        <v>0</v>
      </c>
      <c r="L504" s="23"/>
      <c r="M504" s="63" t="s">
        <v>1252</v>
      </c>
      <c r="N504" s="63"/>
      <c r="O504" s="23" t="e">
        <f t="shared" si="92"/>
        <v>#VALUE!</v>
      </c>
      <c r="P504" s="63"/>
      <c r="Q504" s="63"/>
      <c r="R504" s="64">
        <v>41456</v>
      </c>
      <c r="S504" s="64">
        <v>41456</v>
      </c>
      <c r="T504" s="23">
        <v>50194323</v>
      </c>
      <c r="U504" s="28">
        <v>4110153248507</v>
      </c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 t="s">
        <v>39</v>
      </c>
      <c r="AN504" s="32" t="s">
        <v>58</v>
      </c>
      <c r="AO504" s="23"/>
      <c r="AP504" s="23"/>
      <c r="AQ504" s="23"/>
      <c r="AR504" s="23"/>
      <c r="AS504" s="23" t="str">
        <f t="shared" si="93"/>
        <v>Yes</v>
      </c>
      <c r="AT504" s="29" t="str">
        <f t="shared" si="94"/>
        <v>Yes</v>
      </c>
      <c r="AU504" s="30"/>
      <c r="AV504" s="31"/>
      <c r="AW504" s="31" t="s">
        <v>59</v>
      </c>
      <c r="AX504" s="2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</row>
    <row r="505" spans="1:74" x14ac:dyDescent="0.25">
      <c r="A505" s="25">
        <v>501</v>
      </c>
      <c r="B505" s="23" t="s">
        <v>1332</v>
      </c>
      <c r="C505" s="23" t="s">
        <v>1312</v>
      </c>
      <c r="D505" s="26" t="s">
        <v>1333</v>
      </c>
      <c r="E505" s="23">
        <v>4</v>
      </c>
      <c r="F505" s="23" t="s">
        <v>161</v>
      </c>
      <c r="G505" s="23">
        <f>VLOOKUP(C505,[2]Sheet2!$T$3:$V$92,3,FALSE)</f>
        <v>72</v>
      </c>
      <c r="H505" s="23" t="s">
        <v>68</v>
      </c>
      <c r="I505" s="23" t="s">
        <v>436</v>
      </c>
      <c r="J505" s="23"/>
      <c r="K505" s="6">
        <v>0.67</v>
      </c>
      <c r="L505" s="23" t="s">
        <v>427</v>
      </c>
      <c r="M505" s="63" t="s">
        <v>1252</v>
      </c>
      <c r="N505" s="63"/>
      <c r="O505" s="23" t="e">
        <f t="shared" si="92"/>
        <v>#VALUE!</v>
      </c>
      <c r="P505" s="63"/>
      <c r="Q505" s="63"/>
      <c r="R505" s="64">
        <v>42012</v>
      </c>
      <c r="S505" s="64">
        <v>42012</v>
      </c>
      <c r="T505" s="23">
        <v>50250920</v>
      </c>
      <c r="U505" s="28">
        <v>4110144879843</v>
      </c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 t="s">
        <v>73</v>
      </c>
      <c r="AN505" s="23"/>
      <c r="AO505" s="23"/>
      <c r="AP505" s="23"/>
      <c r="AQ505" s="23"/>
      <c r="AR505" s="23"/>
      <c r="AS505" s="23" t="str">
        <f t="shared" si="93"/>
        <v>No</v>
      </c>
      <c r="AT505" s="29" t="str">
        <f t="shared" si="94"/>
        <v>NA</v>
      </c>
      <c r="AU505" s="30"/>
      <c r="AV505" s="31"/>
      <c r="AW505" s="31" t="s">
        <v>59</v>
      </c>
      <c r="AX505" s="2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</row>
    <row r="506" spans="1:74" x14ac:dyDescent="0.25">
      <c r="A506" s="25">
        <v>502</v>
      </c>
      <c r="B506" s="23" t="s">
        <v>1334</v>
      </c>
      <c r="C506" s="23" t="s">
        <v>1312</v>
      </c>
      <c r="D506" s="26" t="s">
        <v>1335</v>
      </c>
      <c r="E506" s="23">
        <v>4</v>
      </c>
      <c r="F506" s="23" t="s">
        <v>71</v>
      </c>
      <c r="G506" s="23">
        <f>VLOOKUP(C506,[2]Sheet2!$T$3:$V$92,3,FALSE)</f>
        <v>72</v>
      </c>
      <c r="H506" s="23" t="s">
        <v>68</v>
      </c>
      <c r="I506" s="23" t="s">
        <v>436</v>
      </c>
      <c r="J506" s="23"/>
      <c r="K506" s="6">
        <v>0.63</v>
      </c>
      <c r="L506" s="23" t="s">
        <v>427</v>
      </c>
      <c r="M506" s="23"/>
      <c r="N506" s="23"/>
      <c r="O506" s="23" t="e">
        <f t="shared" si="92"/>
        <v>#VALUE!</v>
      </c>
      <c r="P506" s="23"/>
      <c r="Q506" s="23"/>
      <c r="R506" s="27"/>
      <c r="S506" s="27"/>
      <c r="T506" s="23">
        <v>50396086</v>
      </c>
      <c r="U506" s="28">
        <v>4110454903591</v>
      </c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 t="s">
        <v>41</v>
      </c>
      <c r="AN506" s="23" t="s">
        <v>58</v>
      </c>
      <c r="AO506" s="23" t="s">
        <v>58</v>
      </c>
      <c r="AP506" s="32" t="s">
        <v>58</v>
      </c>
      <c r="AQ506" s="23"/>
      <c r="AR506" s="23"/>
      <c r="AS506" s="23" t="str">
        <f t="shared" si="93"/>
        <v>Yes</v>
      </c>
      <c r="AT506" s="29" t="str">
        <f t="shared" si="94"/>
        <v>Yes</v>
      </c>
      <c r="AU506" s="30"/>
      <c r="AV506" s="31"/>
      <c r="AW506" s="31" t="s">
        <v>59</v>
      </c>
      <c r="AX506" s="2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</row>
    <row r="507" spans="1:74" x14ac:dyDescent="0.25">
      <c r="A507" s="25">
        <v>472</v>
      </c>
      <c r="B507" s="23" t="s">
        <v>1336</v>
      </c>
      <c r="C507" s="23" t="s">
        <v>1312</v>
      </c>
      <c r="D507" s="26" t="s">
        <v>1337</v>
      </c>
      <c r="E507" s="23">
        <v>4</v>
      </c>
      <c r="F507" s="23" t="s">
        <v>71</v>
      </c>
      <c r="G507" s="23">
        <f>VLOOKUP(C507,[2]Sheet2!$T$3:$V$92,3,FALSE)</f>
        <v>72</v>
      </c>
      <c r="H507" s="23" t="s">
        <v>68</v>
      </c>
      <c r="I507" s="23" t="s">
        <v>436</v>
      </c>
      <c r="J507" s="23"/>
      <c r="K507" s="6">
        <v>0.62</v>
      </c>
      <c r="L507" s="23" t="s">
        <v>427</v>
      </c>
      <c r="M507" s="23"/>
      <c r="N507" s="23"/>
      <c r="O507" s="23" t="e">
        <f t="shared" si="92"/>
        <v>#VALUE!</v>
      </c>
      <c r="P507" s="23"/>
      <c r="Q507" s="23"/>
      <c r="R507" s="27"/>
      <c r="S507" s="27">
        <v>45937</v>
      </c>
      <c r="T507" s="23">
        <v>50699239</v>
      </c>
      <c r="U507" s="28">
        <v>4200083034759</v>
      </c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 t="s">
        <v>39</v>
      </c>
      <c r="AN507" s="32" t="s">
        <v>58</v>
      </c>
      <c r="AO507" s="23"/>
      <c r="AP507" s="23"/>
      <c r="AQ507" s="23"/>
      <c r="AR507" s="23"/>
      <c r="AS507" s="23" t="str">
        <f t="shared" si="93"/>
        <v>Yes</v>
      </c>
      <c r="AT507" s="29" t="str">
        <f t="shared" si="94"/>
        <v>Yes</v>
      </c>
      <c r="AU507" s="30"/>
      <c r="AV507" s="31"/>
      <c r="AW507" s="31" t="s">
        <v>59</v>
      </c>
      <c r="AX507" s="2" t="s">
        <v>64</v>
      </c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</row>
    <row r="508" spans="1:74" x14ac:dyDescent="0.25">
      <c r="A508" s="25">
        <v>508</v>
      </c>
      <c r="B508" s="23" t="s">
        <v>1338</v>
      </c>
      <c r="C508" s="23" t="s">
        <v>434</v>
      </c>
      <c r="D508" s="26" t="s">
        <v>144</v>
      </c>
      <c r="E508" s="23">
        <v>14</v>
      </c>
      <c r="F508" s="23" t="s">
        <v>108</v>
      </c>
      <c r="G508" s="23">
        <f>VLOOKUP(C508,[2]Sheet2!$T$3:$V$92,3,FALSE)</f>
        <v>73</v>
      </c>
      <c r="H508" s="23" t="s">
        <v>68</v>
      </c>
      <c r="I508" s="23" t="s">
        <v>436</v>
      </c>
      <c r="J508" s="23"/>
      <c r="K508" s="6">
        <v>0.73</v>
      </c>
      <c r="L508" s="23" t="s">
        <v>574</v>
      </c>
      <c r="M508" s="23"/>
      <c r="N508" s="23"/>
      <c r="O508" s="23" t="e">
        <f t="shared" si="92"/>
        <v>#VALUE!</v>
      </c>
      <c r="P508" s="23"/>
      <c r="Q508" s="23"/>
      <c r="R508" s="27"/>
      <c r="S508" s="27"/>
      <c r="T508" s="23">
        <v>50745706</v>
      </c>
      <c r="U508" s="28">
        <v>4130479297997</v>
      </c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 t="s">
        <v>41</v>
      </c>
      <c r="AN508" s="39" t="s">
        <v>58</v>
      </c>
      <c r="AO508" s="39" t="s">
        <v>58</v>
      </c>
      <c r="AP508" s="70" t="s">
        <v>58</v>
      </c>
      <c r="AQ508" s="23"/>
      <c r="AR508" s="23"/>
      <c r="AS508" s="23" t="str">
        <f>IF(AND(AN508="Yes", AO508="Yes", AP508="Yes"), "Yes", IF(AND(AN508="", AO508="", AP508=""), "No", "Incomplete"))</f>
        <v>Yes</v>
      </c>
      <c r="AT508" s="29" t="str">
        <f t="shared" si="94"/>
        <v>Yes</v>
      </c>
      <c r="AU508" s="30"/>
      <c r="AV508" s="31"/>
      <c r="AW508" s="31" t="s">
        <v>59</v>
      </c>
      <c r="AX508" s="2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</row>
    <row r="509" spans="1:74" x14ac:dyDescent="0.25">
      <c r="A509" s="25">
        <v>505</v>
      </c>
      <c r="B509" s="23" t="s">
        <v>1339</v>
      </c>
      <c r="C509" s="23" t="s">
        <v>434</v>
      </c>
      <c r="D509" s="26" t="s">
        <v>66</v>
      </c>
      <c r="E509" s="23">
        <v>17</v>
      </c>
      <c r="F509" s="23" t="s">
        <v>586</v>
      </c>
      <c r="G509" s="23">
        <f>VLOOKUP(C509,[2]Sheet2!$T$3:$V$92,3,FALSE)</f>
        <v>73</v>
      </c>
      <c r="H509" s="23" t="s">
        <v>54</v>
      </c>
      <c r="I509" s="23" t="s">
        <v>436</v>
      </c>
      <c r="J509" s="23"/>
      <c r="L509" s="23"/>
      <c r="M509" s="23"/>
      <c r="N509" s="23"/>
      <c r="O509" s="23" t="str">
        <f>IF(ISNUMBER(SEARCH("to", N509)),
_xlfn.LET(
    _xlpm.first_line, LEFT(N509, IFERROR(SEARCH(CHAR(10), N509)-1, LEN(N509))),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509" s="23"/>
      <c r="Q509" s="23"/>
      <c r="R509" s="27"/>
      <c r="S509" s="27"/>
      <c r="T509" s="23"/>
      <c r="U509" s="28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 t="s">
        <v>66</v>
      </c>
      <c r="AN509" s="23"/>
      <c r="AO509" s="23"/>
      <c r="AP509" s="23"/>
      <c r="AQ509" s="23"/>
      <c r="AR509" s="23"/>
      <c r="AS509" s="23" t="str">
        <f>IF(AND(AN509="Yes", AO509="Yes", AP509="Yes"), "Yes", IF(AND(AN509="", AO509="", AP509=""), "No", "Incomplete"))</f>
        <v>No</v>
      </c>
      <c r="AT509" s="29" t="str">
        <f t="shared" si="94"/>
        <v>Vacant</v>
      </c>
      <c r="AU509" s="30"/>
      <c r="AV509" s="31"/>
      <c r="AW509" s="31"/>
      <c r="AX509" s="2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</row>
    <row r="510" spans="1:74" x14ac:dyDescent="0.25">
      <c r="A510" s="25">
        <v>510</v>
      </c>
      <c r="B510" s="23" t="s">
        <v>1340</v>
      </c>
      <c r="C510" s="23" t="s">
        <v>434</v>
      </c>
      <c r="D510" s="26" t="s">
        <v>1341</v>
      </c>
      <c r="E510" s="23">
        <v>11</v>
      </c>
      <c r="F510" s="23" t="s">
        <v>138</v>
      </c>
      <c r="G510" s="23">
        <f>VLOOKUP(C510,[2]Sheet2!$T$3:$V$92,3,FALSE)</f>
        <v>73</v>
      </c>
      <c r="H510" s="23" t="s">
        <v>68</v>
      </c>
      <c r="I510" s="23" t="s">
        <v>436</v>
      </c>
      <c r="J510" s="23"/>
      <c r="K510" s="6">
        <v>0</v>
      </c>
      <c r="L510" s="23"/>
      <c r="M510" s="23"/>
      <c r="N510" s="23"/>
      <c r="O510" s="23" t="e">
        <f t="shared" ref="O510:O516" si="95">IF(DATEVALUE(MID(N510,15,10))-DATEVALUE(LEFT(N510,10))+1&gt;=365,"1 Year",
DATEDIF(DATEVALUE(LEFT(N510,10)),DATEVALUE(MID(N510,15,10)),"Y")&amp;" Years, "&amp;DATEDIF(DATEVALUE(LEFT(N510,10)),DATEVALUE(MID(N510,15,10)),"YM")&amp;" Months, "&amp;DATEDIF(DATEVALUE(LEFT(N510,10)),DATEVALUE(MID(N510,15,10)),"MD")&amp;" Days")</f>
        <v>#VALUE!</v>
      </c>
      <c r="P510" s="23"/>
      <c r="Q510" s="23"/>
      <c r="R510" s="27"/>
      <c r="S510" s="27"/>
      <c r="T510" s="23"/>
      <c r="U510" s="28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 t="s">
        <v>40</v>
      </c>
      <c r="AN510" s="32" t="s">
        <v>58</v>
      </c>
      <c r="AO510" s="32" t="s">
        <v>58</v>
      </c>
      <c r="AP510" s="23"/>
      <c r="AQ510" s="23"/>
      <c r="AR510" s="23"/>
      <c r="AS510" s="23" t="str">
        <f t="shared" ref="AS510:AS515" si="96">IF(AND(AN510="Yes"), "Yes", IF(AND(AN510=""), "No", "Incomplete"))</f>
        <v>Yes</v>
      </c>
      <c r="AT510" s="29" t="str">
        <f t="shared" si="94"/>
        <v>Yes</v>
      </c>
      <c r="AU510" s="30"/>
      <c r="AV510" s="31"/>
      <c r="AW510" s="31"/>
      <c r="AX510" s="2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</row>
    <row r="511" spans="1:74" x14ac:dyDescent="0.25">
      <c r="A511" s="25">
        <v>511</v>
      </c>
      <c r="B511" s="23" t="s">
        <v>1342</v>
      </c>
      <c r="C511" s="23" t="s">
        <v>434</v>
      </c>
      <c r="D511" s="26" t="s">
        <v>1343</v>
      </c>
      <c r="E511" s="23">
        <v>11</v>
      </c>
      <c r="F511" s="23" t="s">
        <v>138</v>
      </c>
      <c r="G511" s="23">
        <f>VLOOKUP(C511,[2]Sheet2!$T$3:$V$92,3,FALSE)</f>
        <v>73</v>
      </c>
      <c r="H511" s="23" t="s">
        <v>68</v>
      </c>
      <c r="I511" s="23" t="s">
        <v>436</v>
      </c>
      <c r="J511" s="23"/>
      <c r="K511" s="6">
        <v>0.68</v>
      </c>
      <c r="L511" s="23" t="s">
        <v>427</v>
      </c>
      <c r="M511" s="23"/>
      <c r="N511" s="23"/>
      <c r="O511" s="23" t="e">
        <f t="shared" si="95"/>
        <v>#VALUE!</v>
      </c>
      <c r="P511" s="23"/>
      <c r="Q511" s="23"/>
      <c r="R511" s="27"/>
      <c r="S511" s="27"/>
      <c r="T511" s="23">
        <v>50698777</v>
      </c>
      <c r="U511" s="28">
        <v>4130221773847</v>
      </c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 t="s">
        <v>41</v>
      </c>
      <c r="AN511" s="32" t="s">
        <v>58</v>
      </c>
      <c r="AO511" s="32" t="s">
        <v>58</v>
      </c>
      <c r="AP511" s="39" t="s">
        <v>58</v>
      </c>
      <c r="AQ511" s="23"/>
      <c r="AR511" s="23"/>
      <c r="AS511" s="23" t="str">
        <f t="shared" si="96"/>
        <v>Yes</v>
      </c>
      <c r="AT511" s="29" t="str">
        <f t="shared" si="94"/>
        <v>Yes</v>
      </c>
      <c r="AU511" s="30"/>
      <c r="AV511" s="31"/>
      <c r="AW511" s="31" t="s">
        <v>59</v>
      </c>
      <c r="AX511" s="2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</row>
    <row r="512" spans="1:74" x14ac:dyDescent="0.25">
      <c r="A512" s="25">
        <v>512</v>
      </c>
      <c r="B512" s="23" t="s">
        <v>1344</v>
      </c>
      <c r="C512" s="23" t="s">
        <v>434</v>
      </c>
      <c r="D512" s="26" t="s">
        <v>1345</v>
      </c>
      <c r="E512" s="23">
        <v>7</v>
      </c>
      <c r="F512" s="23" t="s">
        <v>264</v>
      </c>
      <c r="G512" s="23">
        <f>VLOOKUP(C512,[2]Sheet2!$T$3:$V$92,3,FALSE)</f>
        <v>73</v>
      </c>
      <c r="H512" s="23" t="s">
        <v>68</v>
      </c>
      <c r="I512" s="23" t="s">
        <v>436</v>
      </c>
      <c r="J512" s="23"/>
      <c r="K512" s="6">
        <v>0</v>
      </c>
      <c r="L512" s="23"/>
      <c r="M512" s="23"/>
      <c r="N512" s="23"/>
      <c r="O512" s="23" t="e">
        <f t="shared" si="95"/>
        <v>#VALUE!</v>
      </c>
      <c r="P512" s="23"/>
      <c r="Q512" s="23"/>
      <c r="R512" s="27"/>
      <c r="S512" s="27"/>
      <c r="T512" s="23">
        <v>10626492</v>
      </c>
      <c r="U512" s="28">
        <v>4110523935581</v>
      </c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 t="s">
        <v>40</v>
      </c>
      <c r="AN512" s="23"/>
      <c r="AO512" s="32" t="s">
        <v>58</v>
      </c>
      <c r="AP512" s="23"/>
      <c r="AQ512" s="23"/>
      <c r="AR512" s="23"/>
      <c r="AS512" s="23" t="str">
        <f t="shared" si="96"/>
        <v>No</v>
      </c>
      <c r="AT512" s="29" t="str">
        <f t="shared" si="94"/>
        <v>Yes</v>
      </c>
      <c r="AU512" s="30"/>
      <c r="AV512" s="31" t="s">
        <v>64</v>
      </c>
      <c r="AW512" s="31" t="s">
        <v>59</v>
      </c>
      <c r="AX512" s="2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</row>
    <row r="513" spans="1:74" x14ac:dyDescent="0.25">
      <c r="A513" s="25">
        <v>513</v>
      </c>
      <c r="B513" s="23" t="s">
        <v>1346</v>
      </c>
      <c r="C513" s="23" t="s">
        <v>434</v>
      </c>
      <c r="D513" s="26" t="s">
        <v>1347</v>
      </c>
      <c r="E513" s="23">
        <v>4</v>
      </c>
      <c r="F513" s="23" t="s">
        <v>161</v>
      </c>
      <c r="G513" s="23">
        <f>VLOOKUP(C513,[2]Sheet2!$T$3:$V$92,3,FALSE)</f>
        <v>73</v>
      </c>
      <c r="H513" s="23" t="s">
        <v>68</v>
      </c>
      <c r="I513" s="23" t="s">
        <v>436</v>
      </c>
      <c r="J513" s="23"/>
      <c r="K513" s="6">
        <v>0.56999999999999995</v>
      </c>
      <c r="L513" s="23" t="s">
        <v>376</v>
      </c>
      <c r="M513" s="63" t="s">
        <v>258</v>
      </c>
      <c r="N513" s="63"/>
      <c r="O513" s="23" t="e">
        <f t="shared" si="95"/>
        <v>#VALUE!</v>
      </c>
      <c r="P513" s="63"/>
      <c r="Q513" s="63"/>
      <c r="R513" s="64">
        <v>41992</v>
      </c>
      <c r="S513" s="64">
        <v>42079</v>
      </c>
      <c r="T513" s="23">
        <v>50231257</v>
      </c>
      <c r="U513" s="28">
        <v>4130686541263</v>
      </c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 t="s">
        <v>73</v>
      </c>
      <c r="AN513" s="23"/>
      <c r="AO513" s="23"/>
      <c r="AP513" s="23"/>
      <c r="AQ513" s="23"/>
      <c r="AR513" s="23"/>
      <c r="AS513" s="23" t="str">
        <f t="shared" si="96"/>
        <v>No</v>
      </c>
      <c r="AT513" s="29" t="str">
        <f t="shared" si="94"/>
        <v>NA</v>
      </c>
      <c r="AU513" s="30"/>
      <c r="AV513" s="31"/>
      <c r="AW513" s="31" t="s">
        <v>59</v>
      </c>
      <c r="AX513" s="2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</row>
    <row r="514" spans="1:74" x14ac:dyDescent="0.25">
      <c r="A514" s="25">
        <v>514</v>
      </c>
      <c r="B514" s="23" t="s">
        <v>1348</v>
      </c>
      <c r="C514" s="23" t="s">
        <v>434</v>
      </c>
      <c r="D514" s="26" t="s">
        <v>1349</v>
      </c>
      <c r="E514" s="23">
        <v>4</v>
      </c>
      <c r="F514" s="23" t="s">
        <v>161</v>
      </c>
      <c r="G514" s="23">
        <f>VLOOKUP(C514,[2]Sheet2!$T$3:$V$92,3,FALSE)</f>
        <v>73</v>
      </c>
      <c r="H514" s="23" t="s">
        <v>68</v>
      </c>
      <c r="I514" s="23" t="s">
        <v>436</v>
      </c>
      <c r="J514" s="23"/>
      <c r="K514" s="6">
        <v>0.7</v>
      </c>
      <c r="L514" s="23" t="s">
        <v>574</v>
      </c>
      <c r="M514" s="43" t="s">
        <v>1158</v>
      </c>
      <c r="N514" s="43"/>
      <c r="O514" s="23" t="e">
        <f t="shared" si="95"/>
        <v>#VALUE!</v>
      </c>
      <c r="P514" s="43"/>
      <c r="Q514" s="43"/>
      <c r="R514" s="44">
        <v>41471</v>
      </c>
      <c r="S514" s="44">
        <v>44505</v>
      </c>
      <c r="T514" s="23">
        <v>50185119</v>
      </c>
      <c r="U514" s="28">
        <v>4130706028791</v>
      </c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 t="s">
        <v>39</v>
      </c>
      <c r="AN514" s="32" t="s">
        <v>58</v>
      </c>
      <c r="AO514" s="23"/>
      <c r="AP514" s="23"/>
      <c r="AQ514" s="23"/>
      <c r="AR514" s="23"/>
      <c r="AS514" s="23" t="str">
        <f t="shared" si="96"/>
        <v>Yes</v>
      </c>
      <c r="AT514" s="29" t="str">
        <f t="shared" si="94"/>
        <v>Yes</v>
      </c>
      <c r="AU514" s="30"/>
      <c r="AV514" s="31" t="s">
        <v>64</v>
      </c>
      <c r="AW514" s="31" t="s">
        <v>59</v>
      </c>
      <c r="AX514" s="2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</row>
    <row r="515" spans="1:74" x14ac:dyDescent="0.25">
      <c r="A515" s="25">
        <v>515</v>
      </c>
      <c r="B515" s="23" t="s">
        <v>1350</v>
      </c>
      <c r="C515" s="23" t="s">
        <v>434</v>
      </c>
      <c r="D515" s="26" t="s">
        <v>1351</v>
      </c>
      <c r="E515" s="23">
        <v>2</v>
      </c>
      <c r="F515" s="23" t="s">
        <v>71</v>
      </c>
      <c r="G515" s="23">
        <f>VLOOKUP(C515,[2]Sheet2!$T$3:$V$92,3,FALSE)</f>
        <v>73</v>
      </c>
      <c r="H515" s="23" t="s">
        <v>68</v>
      </c>
      <c r="I515" s="23" t="s">
        <v>436</v>
      </c>
      <c r="J515" s="23"/>
      <c r="K515" s="6">
        <v>0.68</v>
      </c>
      <c r="L515" s="23" t="s">
        <v>574</v>
      </c>
      <c r="M515" s="23"/>
      <c r="N515" s="23"/>
      <c r="O515" s="23" t="e">
        <f t="shared" si="95"/>
        <v>#VALUE!</v>
      </c>
      <c r="P515" s="23"/>
      <c r="Q515" s="23"/>
      <c r="R515" s="27"/>
      <c r="S515" s="27"/>
      <c r="T515" s="23">
        <v>50745710</v>
      </c>
      <c r="U515" s="28">
        <v>4230143148123</v>
      </c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 t="s">
        <v>40</v>
      </c>
      <c r="AN515" s="32" t="s">
        <v>58</v>
      </c>
      <c r="AO515" s="32" t="s">
        <v>1352</v>
      </c>
      <c r="AP515" s="23"/>
      <c r="AQ515" s="23"/>
      <c r="AR515" s="23"/>
      <c r="AS515" s="23" t="str">
        <f t="shared" si="96"/>
        <v>Yes</v>
      </c>
      <c r="AT515" s="29" t="str">
        <f t="shared" si="94"/>
        <v>Yes</v>
      </c>
      <c r="AU515" s="30"/>
      <c r="AV515" s="31"/>
      <c r="AW515" s="31" t="s">
        <v>59</v>
      </c>
      <c r="AX515" s="2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</row>
    <row r="516" spans="1:74" x14ac:dyDescent="0.25">
      <c r="A516" s="25">
        <v>46</v>
      </c>
      <c r="B516" s="23" t="s">
        <v>1353</v>
      </c>
      <c r="C516" s="23" t="s">
        <v>434</v>
      </c>
      <c r="D516" s="26" t="s">
        <v>66</v>
      </c>
      <c r="E516" s="23">
        <v>13</v>
      </c>
      <c r="F516" s="23" t="s">
        <v>131</v>
      </c>
      <c r="G516" s="23">
        <f>VLOOKUP(C516,[2]Sheet2!$T$3:$V$92,3,FALSE)</f>
        <v>73</v>
      </c>
      <c r="H516" s="23" t="s">
        <v>68</v>
      </c>
      <c r="I516" s="23" t="s">
        <v>436</v>
      </c>
      <c r="J516" s="23"/>
      <c r="K516" s="6">
        <v>0</v>
      </c>
      <c r="L516" s="23"/>
      <c r="M516" s="23"/>
      <c r="N516" s="23"/>
      <c r="O516" s="23" t="e">
        <f t="shared" si="95"/>
        <v>#VALUE!</v>
      </c>
      <c r="P516" s="23"/>
      <c r="Q516" s="23"/>
      <c r="R516" s="27"/>
      <c r="S516" s="27"/>
      <c r="T516" s="23"/>
      <c r="U516" s="28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 t="s">
        <v>66</v>
      </c>
      <c r="AN516" s="32"/>
      <c r="AO516" s="23"/>
      <c r="AP516" s="23"/>
      <c r="AQ516" s="23"/>
      <c r="AR516" s="23"/>
      <c r="AS516" s="23" t="str">
        <f>IF(AND(AN516="Yes", AO516="Yes"), "Yes", IF(AND(AN516="", AO516=""), "No", "Incomplete"))</f>
        <v>No</v>
      </c>
      <c r="AT516" s="29" t="str">
        <f t="shared" si="94"/>
        <v>Vacant</v>
      </c>
      <c r="AU516" s="30"/>
      <c r="AV516" s="31"/>
      <c r="AW516" s="31"/>
      <c r="AX516" s="2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</row>
    <row r="517" spans="1:74" x14ac:dyDescent="0.25">
      <c r="A517" s="25">
        <v>248</v>
      </c>
      <c r="B517" s="23" t="s">
        <v>1354</v>
      </c>
      <c r="C517" s="23" t="s">
        <v>442</v>
      </c>
      <c r="D517" s="26" t="s">
        <v>1093</v>
      </c>
      <c r="E517" s="23">
        <v>18</v>
      </c>
      <c r="F517" s="23" t="s">
        <v>1355</v>
      </c>
      <c r="G517" s="23">
        <f>VLOOKUP(C517,[2]Sheet2!$T$3:$V$92,3,FALSE)</f>
        <v>18</v>
      </c>
      <c r="H517" s="23" t="s">
        <v>54</v>
      </c>
      <c r="I517" s="23" t="s">
        <v>55</v>
      </c>
      <c r="J517" s="23"/>
      <c r="L517" s="23"/>
      <c r="M517" s="23"/>
      <c r="N517" s="23" t="s">
        <v>56</v>
      </c>
      <c r="O517" s="23" t="e">
        <f ca="1">IF(ISNUMBER(SEARCH("to", N517)),
_xlfn.LET(
    _xlpm.text_n3, N517,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17" s="23"/>
      <c r="Q517" s="23" t="s">
        <v>57</v>
      </c>
      <c r="R517" s="27"/>
      <c r="S517" s="27"/>
      <c r="T517" s="23">
        <v>50621039</v>
      </c>
      <c r="U517" s="28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 t="s">
        <v>41</v>
      </c>
      <c r="AN517" s="23" t="s">
        <v>58</v>
      </c>
      <c r="AO517" s="23" t="s">
        <v>58</v>
      </c>
      <c r="AP517" s="23" t="s">
        <v>58</v>
      </c>
      <c r="AQ517" s="23"/>
      <c r="AR517" s="23"/>
      <c r="AS517" s="23" t="str">
        <f>IF(AND(AN517="Yes", AO517="Yes", AP517="Yes"), "Yes", IF(AND(AN517="", AO517="", AP517=""), "No", "Incomplete"))</f>
        <v>Yes</v>
      </c>
      <c r="AT517" s="29" t="str">
        <f t="shared" si="94"/>
        <v>Yes</v>
      </c>
      <c r="AU517" s="30"/>
      <c r="AV517" s="31"/>
      <c r="AW517" s="31" t="s">
        <v>59</v>
      </c>
      <c r="AX517" s="2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</row>
    <row r="518" spans="1:74" x14ac:dyDescent="0.25">
      <c r="A518" s="25">
        <v>93</v>
      </c>
      <c r="B518" s="23" t="s">
        <v>1356</v>
      </c>
      <c r="C518" s="23" t="s">
        <v>442</v>
      </c>
      <c r="D518" s="26" t="s">
        <v>1357</v>
      </c>
      <c r="E518" s="23">
        <v>11</v>
      </c>
      <c r="F518" s="23" t="s">
        <v>138</v>
      </c>
      <c r="G518" s="23">
        <f>VLOOKUP(C518,[2]Sheet2!$T$3:$V$92,3,FALSE)</f>
        <v>18</v>
      </c>
      <c r="H518" s="23" t="s">
        <v>68</v>
      </c>
      <c r="I518" s="23" t="s">
        <v>55</v>
      </c>
      <c r="J518" s="23">
        <v>1</v>
      </c>
      <c r="K518" s="6">
        <v>0.57999999999999996</v>
      </c>
      <c r="L518" s="23" t="s">
        <v>1358</v>
      </c>
      <c r="M518" s="23"/>
      <c r="N518" s="23"/>
      <c r="O518" s="23" t="str">
        <f>IF(ISNUMBER(SEARCH("to", N518)),
_xlfn.LET(
    _xlpm.text_n3, N518,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518" s="23"/>
      <c r="Q518" s="23"/>
      <c r="R518" s="27">
        <v>44692</v>
      </c>
      <c r="S518" s="27">
        <v>44735</v>
      </c>
      <c r="T518" s="23">
        <v>50673071</v>
      </c>
      <c r="U518" s="28">
        <v>4120384853351</v>
      </c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 t="s">
        <v>41</v>
      </c>
      <c r="AN518" s="32" t="s">
        <v>58</v>
      </c>
      <c r="AO518" s="32" t="s">
        <v>58</v>
      </c>
      <c r="AP518" s="32" t="s">
        <v>58</v>
      </c>
      <c r="AQ518" s="23"/>
      <c r="AR518" s="23"/>
      <c r="AS518" s="23" t="str">
        <f>IF(AND(AN518="Yes"), "Yes", IF(AND(AN518=""), "No", "Incomplete"))</f>
        <v>Yes</v>
      </c>
      <c r="AT518" s="29" t="str">
        <f t="shared" si="94"/>
        <v>Yes</v>
      </c>
      <c r="AU518" s="30"/>
      <c r="AV518" s="31" t="s">
        <v>64</v>
      </c>
      <c r="AW518" s="31"/>
      <c r="AX518" s="2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</row>
    <row r="519" spans="1:74" x14ac:dyDescent="0.25">
      <c r="A519" s="25">
        <v>155</v>
      </c>
      <c r="B519" s="23" t="s">
        <v>1359</v>
      </c>
      <c r="C519" s="23" t="s">
        <v>531</v>
      </c>
      <c r="D519" s="26" t="s">
        <v>1360</v>
      </c>
      <c r="E519" s="23">
        <v>4</v>
      </c>
      <c r="F519" s="23" t="s">
        <v>71</v>
      </c>
      <c r="G519" s="23">
        <f>VLOOKUP(C519,[2]Sheet2!$T$3:$V$92,3,FALSE)</f>
        <v>23</v>
      </c>
      <c r="H519" s="23" t="s">
        <v>68</v>
      </c>
      <c r="I519" s="23" t="s">
        <v>55</v>
      </c>
      <c r="J519" s="23">
        <v>3</v>
      </c>
      <c r="K519" s="6">
        <v>0.62</v>
      </c>
      <c r="L519" s="23" t="s">
        <v>1361</v>
      </c>
      <c r="M519" s="23"/>
      <c r="N519" s="23"/>
      <c r="O519" s="23" t="e">
        <f>IF(DATEVALUE(MID(N519,15,10))-DATEVALUE(LEFT(N519,10))+1&gt;=365,"1 Year",
DATEDIF(DATEVALUE(LEFT(N519,10)),DATEVALUE(MID(N519,15,10)),"Y")&amp;" Years, "&amp;DATEDIF(DATEVALUE(LEFT(N519,10)),DATEVALUE(MID(N519,15,10)),"YM")&amp;" Months, "&amp;DATEDIF(DATEVALUE(LEFT(N519,10)),DATEVALUE(MID(N519,15,10)),"MD")&amp;" Days")</f>
        <v>#VALUE!</v>
      </c>
      <c r="P519" s="23"/>
      <c r="Q519" s="23"/>
      <c r="R519" s="27">
        <v>43282</v>
      </c>
      <c r="S519" s="27">
        <v>43282</v>
      </c>
      <c r="T519" s="23">
        <v>50220126</v>
      </c>
      <c r="U519" s="28">
        <v>4240198632819</v>
      </c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 t="s">
        <v>39</v>
      </c>
      <c r="AN519" s="32" t="s">
        <v>58</v>
      </c>
      <c r="AO519" s="23"/>
      <c r="AP519" s="23"/>
      <c r="AQ519" s="23"/>
      <c r="AR519" s="23"/>
      <c r="AS519" s="23" t="str">
        <f>IF(AND(AN519="Yes"), "Yes", IF(AND(AN519=""), "No", "Incomplete"))</f>
        <v>Yes</v>
      </c>
      <c r="AT519" s="29" t="str">
        <f t="shared" si="94"/>
        <v>Yes</v>
      </c>
      <c r="AU519" s="30"/>
      <c r="AV519" s="31"/>
      <c r="AW519" s="31"/>
      <c r="AX519" s="2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</row>
    <row r="520" spans="1:74" x14ac:dyDescent="0.25">
      <c r="A520" s="25">
        <v>516</v>
      </c>
      <c r="B520" s="23" t="s">
        <v>1362</v>
      </c>
      <c r="C520" s="23" t="s">
        <v>434</v>
      </c>
      <c r="D520" s="26" t="s">
        <v>66</v>
      </c>
      <c r="E520" s="23">
        <v>2</v>
      </c>
      <c r="F520" s="23" t="s">
        <v>71</v>
      </c>
      <c r="G520" s="23">
        <f>VLOOKUP(C520,[2]Sheet2!$T$3:$V$92,3,FALSE)</f>
        <v>73</v>
      </c>
      <c r="H520" s="23" t="s">
        <v>68</v>
      </c>
      <c r="I520" s="23" t="s">
        <v>436</v>
      </c>
      <c r="J520" s="23"/>
      <c r="L520" s="23"/>
      <c r="M520" s="23"/>
      <c r="N520" s="23"/>
      <c r="O520" s="23" t="e">
        <f>IF(DATEVALUE(MID(N520,15,10))-DATEVALUE(LEFT(N520,10))+1&gt;=365,"1 Year",
DATEDIF(DATEVALUE(LEFT(N520,10)),DATEVALUE(MID(N520,15,10)),"Y")&amp;" Years, "&amp;DATEDIF(DATEVALUE(LEFT(N520,10)),DATEVALUE(MID(N520,15,10)),"YM")&amp;" Months, "&amp;DATEDIF(DATEVALUE(LEFT(N520,10)),DATEVALUE(MID(N520,15,10)),"MD")&amp;" Days")</f>
        <v>#VALUE!</v>
      </c>
      <c r="P520" s="23"/>
      <c r="Q520" s="23"/>
      <c r="R520" s="27"/>
      <c r="S520" s="27"/>
      <c r="T520" s="23"/>
      <c r="U520" s="28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 t="s">
        <v>66</v>
      </c>
      <c r="AN520" s="23"/>
      <c r="AO520" s="70"/>
      <c r="AP520" s="23"/>
      <c r="AQ520" s="23"/>
      <c r="AR520" s="23"/>
      <c r="AS520" s="23" t="str">
        <f>IF(AND(AN520="Yes"), "Yes", IF(AND(AN520=""), "No", "Incomplete"))</f>
        <v>No</v>
      </c>
      <c r="AT520" s="29" t="str">
        <f t="shared" si="94"/>
        <v>Vacant</v>
      </c>
      <c r="AU520" s="30"/>
      <c r="AV520" s="31"/>
      <c r="AW520" s="31"/>
      <c r="AX520" s="2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</row>
    <row r="521" spans="1:74" x14ac:dyDescent="0.25">
      <c r="A521" s="25">
        <v>517</v>
      </c>
      <c r="B521" s="23" t="s">
        <v>1363</v>
      </c>
      <c r="C521" s="23" t="s">
        <v>1364</v>
      </c>
      <c r="D521" s="26" t="s">
        <v>1365</v>
      </c>
      <c r="E521" s="23">
        <v>19</v>
      </c>
      <c r="F521" s="23" t="s">
        <v>555</v>
      </c>
      <c r="G521" s="23">
        <f>VLOOKUP(C521,[2]Sheet2!$T$3:$V$92,3,FALSE)</f>
        <v>74</v>
      </c>
      <c r="H521" s="23" t="s">
        <v>54</v>
      </c>
      <c r="I521" s="23" t="s">
        <v>436</v>
      </c>
      <c r="J521" s="23"/>
      <c r="L521" s="23"/>
      <c r="M521" s="23"/>
      <c r="N521" s="23" t="s">
        <v>56</v>
      </c>
      <c r="O521" s="23" t="e">
        <f ca="1">IF(ISNUMBER(SEARCH("to", N521)),
_xlfn.LET(
    _xlpm.text_n3, N521,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21" s="23"/>
      <c r="Q521" s="23" t="s">
        <v>57</v>
      </c>
      <c r="R521" s="27"/>
      <c r="S521" s="27"/>
      <c r="T521" s="23">
        <v>10179589</v>
      </c>
      <c r="U521" s="28">
        <v>4320320746565</v>
      </c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 t="s">
        <v>42</v>
      </c>
      <c r="AN521" s="23" t="s">
        <v>58</v>
      </c>
      <c r="AO521" s="23" t="s">
        <v>58</v>
      </c>
      <c r="AP521" s="23" t="s">
        <v>58</v>
      </c>
      <c r="AQ521" s="23" t="s">
        <v>58</v>
      </c>
      <c r="AR521" s="23"/>
      <c r="AS521" s="23" t="str">
        <f>IF(AND(AN521="Yes", AO521="Yes", AP521="Yes"), "Yes", IF(AND(AN521="", AO521="", AP521=""), "No", "Incomplete"))</f>
        <v>Yes</v>
      </c>
      <c r="AT521" s="29" t="str">
        <f>IF(AM521="Matric",IF(AN521="Yes","Yes",IF(AN521="Under Process", "Under Process","No")),IF(AM521="Inter",IF(AO521="Yes","Yes",IF(AO521="Under Process", "Under Process","No")),IF(AM521="Bachelor",IF(AP521="Yes","Yes",IF(AP521="Under Process", "Under Process","No")),IF(AM521="Master",IF(AQ521="Yes","Yes",IF(AQ521="Under Process", "Under Process","No")),IF(AM521="Vacant",IF(#REF!="Yes","No","Vacant"),IF(AM521="NA",IF(#REF!="Yes","No","NA"),"No"))))))</f>
        <v>Yes</v>
      </c>
      <c r="AU521" s="30"/>
      <c r="AV521" s="31"/>
      <c r="AW521" s="31" t="s">
        <v>59</v>
      </c>
      <c r="AX521" s="2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</row>
    <row r="522" spans="1:74" x14ac:dyDescent="0.25">
      <c r="A522" s="25">
        <v>518</v>
      </c>
      <c r="B522" s="23" t="s">
        <v>1366</v>
      </c>
      <c r="C522" s="23" t="s">
        <v>1364</v>
      </c>
      <c r="D522" s="26" t="s">
        <v>66</v>
      </c>
      <c r="E522" s="23">
        <v>18</v>
      </c>
      <c r="F522" s="23" t="s">
        <v>557</v>
      </c>
      <c r="G522" s="23">
        <f>VLOOKUP(C522,[2]Sheet2!$T$3:$V$92,3,FALSE)</f>
        <v>74</v>
      </c>
      <c r="H522" s="23" t="s">
        <v>54</v>
      </c>
      <c r="I522" s="23" t="s">
        <v>436</v>
      </c>
      <c r="J522" s="23"/>
      <c r="L522" s="23"/>
      <c r="M522" s="23"/>
      <c r="N522" s="23"/>
      <c r="O522" s="23" t="str">
        <f>IF(ISNUMBER(SEARCH("to", N522)),
_xlfn.LET(
    _xlpm.first_line, LEFT(N522, IFERROR(SEARCH(CHAR(10), N522)-1, LEN(N522))),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522" s="23"/>
      <c r="Q522" s="23"/>
      <c r="R522" s="27"/>
      <c r="S522" s="27"/>
      <c r="T522" s="23"/>
      <c r="U522" s="28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 t="s">
        <v>66</v>
      </c>
      <c r="AN522" s="23"/>
      <c r="AO522" s="23"/>
      <c r="AP522" s="23"/>
      <c r="AQ522" s="23"/>
      <c r="AR522" s="23"/>
      <c r="AS522" s="23" t="str">
        <f>IF(AND(AN522="Yes", AO522="Yes", AP522="Yes"), "Yes", IF(AND(AN522="", AO522="", AP522=""), "No", "Incomplete"))</f>
        <v>No</v>
      </c>
      <c r="AT522" s="29" t="str">
        <f t="shared" ref="AT522:AT585" si="97">IF(AM522="Matric",IF(AN522="Yes","Yes",IF(AN522="Under Process", "Under Process","No")),IF(AM522="Inter",IF(AO522="Yes","Yes",IF(AO522="Under Process", "Under Process","No")),IF(AM522="Bachelor",IF(AP522="Yes","Yes",IF(AP522="Under Process", "Under Process","No")),IF(AM522="Master",IF(AQ522="Yes","Yes",IF(AQ522="Under Process", "Under Process","No")),IF(AM522="Vacant",IF(D530="Yes","No","Vacant"),IF(AM522="NA",IF(D530="Yes","No","NA"),"No"))))))</f>
        <v>Vacant</v>
      </c>
      <c r="AU522" s="30"/>
      <c r="AV522" s="31"/>
      <c r="AW522" s="31"/>
      <c r="AX522" s="2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</row>
    <row r="523" spans="1:74" x14ac:dyDescent="0.25">
      <c r="A523" s="25">
        <v>520</v>
      </c>
      <c r="B523" s="23" t="s">
        <v>1367</v>
      </c>
      <c r="C523" s="23" t="s">
        <v>1364</v>
      </c>
      <c r="D523" s="26" t="s">
        <v>66</v>
      </c>
      <c r="E523" s="23">
        <v>16</v>
      </c>
      <c r="F523" s="23" t="s">
        <v>67</v>
      </c>
      <c r="G523" s="23">
        <f>VLOOKUP(C523,[2]Sheet2!$T$3:$V$92,3,FALSE)</f>
        <v>74</v>
      </c>
      <c r="H523" s="23" t="s">
        <v>68</v>
      </c>
      <c r="I523" s="23" t="s">
        <v>436</v>
      </c>
      <c r="J523" s="23"/>
      <c r="L523" s="23"/>
      <c r="M523" s="23"/>
      <c r="N523" s="23"/>
      <c r="O523" s="23" t="e">
        <f t="shared" ref="O523:O531" si="98">IF(DATEVALUE(MID(N523,15,10))-DATEVALUE(LEFT(N523,10))+1&gt;=365,"1 Year",
DATEDIF(DATEVALUE(LEFT(N523,10)),DATEVALUE(MID(N523,15,10)),"Y")&amp;" Years, "&amp;DATEDIF(DATEVALUE(LEFT(N523,10)),DATEVALUE(MID(N523,15,10)),"YM")&amp;" Months, "&amp;DATEDIF(DATEVALUE(LEFT(N523,10)),DATEVALUE(MID(N523,15,10)),"MD")&amp;" Days")</f>
        <v>#VALUE!</v>
      </c>
      <c r="P523" s="23"/>
      <c r="Q523" s="23"/>
      <c r="R523" s="27"/>
      <c r="S523" s="27"/>
      <c r="T523" s="23"/>
      <c r="U523" s="28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 t="s">
        <v>66</v>
      </c>
      <c r="AN523" s="23"/>
      <c r="AO523" s="23"/>
      <c r="AP523" s="23"/>
      <c r="AQ523" s="23"/>
      <c r="AR523" s="23"/>
      <c r="AS523" s="23" t="str">
        <f>IF(AND(AN523="Yes", AO523="Yes", AP523="Yes"), "Yes", IF(AND(AN523="", AO523="", AP523=""), "No", "Incomplete"))</f>
        <v>No</v>
      </c>
      <c r="AT523" s="29" t="str">
        <f t="shared" si="97"/>
        <v>Vacant</v>
      </c>
      <c r="AU523" s="30"/>
      <c r="AV523" s="31"/>
      <c r="AW523" s="31"/>
      <c r="AX523" s="2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</row>
    <row r="524" spans="1:74" x14ac:dyDescent="0.25">
      <c r="A524" s="25">
        <v>519</v>
      </c>
      <c r="B524" s="23" t="s">
        <v>1368</v>
      </c>
      <c r="C524" s="23" t="s">
        <v>1364</v>
      </c>
      <c r="D524" s="26" t="s">
        <v>1369</v>
      </c>
      <c r="E524" s="23">
        <v>17</v>
      </c>
      <c r="F524" s="23" t="s">
        <v>560</v>
      </c>
      <c r="G524" s="23">
        <f>VLOOKUP(C524,[2]Sheet2!$T$3:$V$92,3,FALSE)</f>
        <v>74</v>
      </c>
      <c r="H524" s="23" t="s">
        <v>54</v>
      </c>
      <c r="I524" s="23" t="s">
        <v>436</v>
      </c>
      <c r="J524" s="23"/>
      <c r="K524" s="6">
        <v>0.95</v>
      </c>
      <c r="L524" s="23" t="s">
        <v>574</v>
      </c>
      <c r="M524" s="23"/>
      <c r="N524" s="23"/>
      <c r="O524" s="23" t="e">
        <f t="shared" si="98"/>
        <v>#VALUE!</v>
      </c>
      <c r="P524" s="23"/>
      <c r="Q524" s="23"/>
      <c r="R524" s="27"/>
      <c r="S524" s="27"/>
      <c r="T524" s="23">
        <v>50751119</v>
      </c>
      <c r="U524" s="28">
        <v>4240135719259</v>
      </c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 t="s">
        <v>41</v>
      </c>
      <c r="AN524" s="23"/>
      <c r="AO524" s="23"/>
      <c r="AP524" s="23" t="s">
        <v>58</v>
      </c>
      <c r="AQ524" s="23"/>
      <c r="AR524" s="23"/>
      <c r="AS524" s="23" t="str">
        <f>IF(AND(AN524="Yes", AO524="Yes", AP524="Yes"), "Yes", IF(AND(AN524="", AO524="", AP524=""), "No", "Incomplete"))</f>
        <v>Incomplete</v>
      </c>
      <c r="AT524" s="29" t="str">
        <f t="shared" si="97"/>
        <v>Yes</v>
      </c>
      <c r="AU524" s="30"/>
      <c r="AV524" s="31"/>
      <c r="AW524" s="31" t="s">
        <v>59</v>
      </c>
      <c r="AX524" s="2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</row>
    <row r="525" spans="1:74" x14ac:dyDescent="0.25">
      <c r="A525" s="25">
        <v>521</v>
      </c>
      <c r="B525" s="23" t="s">
        <v>1370</v>
      </c>
      <c r="C525" s="23" t="s">
        <v>1364</v>
      </c>
      <c r="D525" s="26" t="s">
        <v>1371</v>
      </c>
      <c r="E525" s="23">
        <v>15</v>
      </c>
      <c r="F525" s="23" t="s">
        <v>108</v>
      </c>
      <c r="G525" s="23">
        <f>VLOOKUP(C525,[2]Sheet2!$T$3:$V$92,3,FALSE)</f>
        <v>74</v>
      </c>
      <c r="H525" s="23" t="s">
        <v>68</v>
      </c>
      <c r="I525" s="23" t="s">
        <v>436</v>
      </c>
      <c r="J525" s="23"/>
      <c r="K525" s="6">
        <v>0.6</v>
      </c>
      <c r="L525" s="23" t="s">
        <v>564</v>
      </c>
      <c r="M525" s="23"/>
      <c r="N525" s="23"/>
      <c r="O525" s="23" t="e">
        <f t="shared" si="98"/>
        <v>#VALUE!</v>
      </c>
      <c r="P525" s="23"/>
      <c r="Q525" s="23"/>
      <c r="R525" s="27"/>
      <c r="S525" s="27"/>
      <c r="T525" s="23">
        <v>50191560</v>
      </c>
      <c r="U525" s="28">
        <v>4130357739419</v>
      </c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 t="s">
        <v>42</v>
      </c>
      <c r="AN525" s="23" t="s">
        <v>58</v>
      </c>
      <c r="AO525" s="23" t="s">
        <v>58</v>
      </c>
      <c r="AP525" s="32" t="s">
        <v>58</v>
      </c>
      <c r="AQ525" s="32" t="s">
        <v>58</v>
      </c>
      <c r="AR525" s="23"/>
      <c r="AS525" s="23" t="str">
        <f>IF(AND(AN525="Yes", AO525="Yes", AP525="Yes"), "Yes", IF(AND(AN525="", AO525="", AP525=""), "No", "Incomplete"))</f>
        <v>Yes</v>
      </c>
      <c r="AT525" s="29" t="str">
        <f t="shared" si="97"/>
        <v>Yes</v>
      </c>
      <c r="AU525" s="30"/>
      <c r="AV525" s="31"/>
      <c r="AW525" s="31"/>
      <c r="AX525" s="2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</row>
    <row r="526" spans="1:74" x14ac:dyDescent="0.25">
      <c r="A526" s="25">
        <v>522</v>
      </c>
      <c r="B526" s="23" t="s">
        <v>1372</v>
      </c>
      <c r="C526" s="23" t="s">
        <v>1364</v>
      </c>
      <c r="D526" s="26" t="s">
        <v>1373</v>
      </c>
      <c r="E526" s="23">
        <v>13</v>
      </c>
      <c r="F526" s="23" t="s">
        <v>131</v>
      </c>
      <c r="G526" s="23">
        <f>VLOOKUP(C526,[2]Sheet2!$T$3:$V$92,3,FALSE)</f>
        <v>74</v>
      </c>
      <c r="H526" s="23" t="s">
        <v>68</v>
      </c>
      <c r="I526" s="23" t="s">
        <v>436</v>
      </c>
      <c r="J526" s="23"/>
      <c r="K526" s="6">
        <v>0.5</v>
      </c>
      <c r="L526" s="23" t="s">
        <v>192</v>
      </c>
      <c r="M526" s="23"/>
      <c r="N526" s="23"/>
      <c r="O526" s="23" t="e">
        <f t="shared" si="98"/>
        <v>#VALUE!</v>
      </c>
      <c r="P526" s="23"/>
      <c r="Q526" s="23"/>
      <c r="R526" s="27"/>
      <c r="S526" s="27"/>
      <c r="T526" s="23">
        <v>10356373</v>
      </c>
      <c r="U526" s="28">
        <v>4420223517469</v>
      </c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 t="s">
        <v>40</v>
      </c>
      <c r="AN526" s="23"/>
      <c r="AO526" s="23" t="s">
        <v>58</v>
      </c>
      <c r="AP526" s="23"/>
      <c r="AQ526" s="23"/>
      <c r="AR526" s="23"/>
      <c r="AS526" s="23" t="str">
        <f>IF(AND(AN526="Yes", AO526="Yes"), "Yes", IF(AND(AN526="", AO526=""), "No", "Incomplete"))</f>
        <v>Incomplete</v>
      </c>
      <c r="AT526" s="29" t="str">
        <f t="shared" si="97"/>
        <v>Yes</v>
      </c>
      <c r="AU526" s="30"/>
      <c r="AV526" s="31"/>
      <c r="AW526" s="31"/>
      <c r="AX526" s="2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</row>
    <row r="527" spans="1:74" x14ac:dyDescent="0.25">
      <c r="A527" s="25">
        <v>523</v>
      </c>
      <c r="B527" s="23" t="s">
        <v>1374</v>
      </c>
      <c r="C527" s="23" t="s">
        <v>1364</v>
      </c>
      <c r="D527" s="26" t="s">
        <v>1375</v>
      </c>
      <c r="E527" s="23">
        <v>11</v>
      </c>
      <c r="F527" s="23" t="s">
        <v>138</v>
      </c>
      <c r="G527" s="23">
        <f>VLOOKUP(C527,[2]Sheet2!$T$3:$V$92,3,FALSE)</f>
        <v>74</v>
      </c>
      <c r="H527" s="23" t="s">
        <v>68</v>
      </c>
      <c r="I527" s="23" t="s">
        <v>436</v>
      </c>
      <c r="J527" s="23"/>
      <c r="K527" s="6">
        <v>0</v>
      </c>
      <c r="L527" s="23"/>
      <c r="M527" s="23"/>
      <c r="N527" s="23"/>
      <c r="O527" s="23" t="e">
        <f t="shared" si="98"/>
        <v>#VALUE!</v>
      </c>
      <c r="P527" s="23"/>
      <c r="Q527" s="23"/>
      <c r="R527" s="27"/>
      <c r="S527" s="27"/>
      <c r="T527" s="23">
        <v>50170297</v>
      </c>
      <c r="U527" s="28">
        <v>4410398133985</v>
      </c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 t="s">
        <v>42</v>
      </c>
      <c r="AN527" s="23" t="s">
        <v>58</v>
      </c>
      <c r="AO527" s="23" t="s">
        <v>58</v>
      </c>
      <c r="AP527" s="23" t="s">
        <v>58</v>
      </c>
      <c r="AQ527" s="23" t="s">
        <v>58</v>
      </c>
      <c r="AR527" s="23"/>
      <c r="AS527" s="23" t="str">
        <f>IF(AND(AN527="Yes"), "Yes", IF(AND(AN527=""), "No", "Incomplete"))</f>
        <v>Yes</v>
      </c>
      <c r="AT527" s="29" t="str">
        <f t="shared" si="97"/>
        <v>Yes</v>
      </c>
      <c r="AU527" s="30"/>
      <c r="AV527" s="31"/>
      <c r="AW527" s="31"/>
      <c r="AX527" s="2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</row>
    <row r="528" spans="1:74" x14ac:dyDescent="0.25">
      <c r="A528" s="25">
        <v>524</v>
      </c>
      <c r="B528" s="23" t="s">
        <v>1376</v>
      </c>
      <c r="C528" s="23" t="s">
        <v>1364</v>
      </c>
      <c r="D528" s="26" t="s">
        <v>1377</v>
      </c>
      <c r="E528" s="23">
        <v>7</v>
      </c>
      <c r="F528" s="23" t="s">
        <v>145</v>
      </c>
      <c r="G528" s="23">
        <f>VLOOKUP(C528,[2]Sheet2!$T$3:$V$92,3,FALSE)</f>
        <v>74</v>
      </c>
      <c r="H528" s="23" t="s">
        <v>68</v>
      </c>
      <c r="I528" s="23" t="s">
        <v>436</v>
      </c>
      <c r="J528" s="23"/>
      <c r="K528" s="6">
        <v>0.75</v>
      </c>
      <c r="L528" s="23" t="s">
        <v>376</v>
      </c>
      <c r="M528" s="23"/>
      <c r="N528" s="23"/>
      <c r="O528" s="23" t="e">
        <f t="shared" si="98"/>
        <v>#VALUE!</v>
      </c>
      <c r="P528" s="23"/>
      <c r="Q528" s="23"/>
      <c r="R528" s="27"/>
      <c r="S528" s="27"/>
      <c r="T528" s="23">
        <v>50682550</v>
      </c>
      <c r="U528" s="28">
        <v>4410367615115</v>
      </c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 t="s">
        <v>40</v>
      </c>
      <c r="AN528" s="23" t="s">
        <v>58</v>
      </c>
      <c r="AO528" s="23" t="s">
        <v>58</v>
      </c>
      <c r="AP528" s="23"/>
      <c r="AQ528" s="23"/>
      <c r="AR528" s="23"/>
      <c r="AS528" s="23" t="str">
        <f>IF(AND(AN528="Yes"), "Yes", IF(AND(AN528=""), "No", "Incomplete"))</f>
        <v>Yes</v>
      </c>
      <c r="AT528" s="29" t="str">
        <f t="shared" si="97"/>
        <v>Yes</v>
      </c>
      <c r="AU528" s="30"/>
      <c r="AV528" s="31"/>
      <c r="AW528" s="31"/>
      <c r="AX528" s="2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</row>
    <row r="529" spans="1:74" x14ac:dyDescent="0.25">
      <c r="A529" s="25">
        <v>525</v>
      </c>
      <c r="B529" s="23" t="s">
        <v>1378</v>
      </c>
      <c r="C529" s="23" t="s">
        <v>1364</v>
      </c>
      <c r="D529" s="26" t="s">
        <v>1379</v>
      </c>
      <c r="E529" s="23">
        <v>7</v>
      </c>
      <c r="F529" s="23" t="s">
        <v>264</v>
      </c>
      <c r="G529" s="23">
        <f>VLOOKUP(C529,[2]Sheet2!$T$3:$V$92,3,FALSE)</f>
        <v>74</v>
      </c>
      <c r="H529" s="23" t="s">
        <v>68</v>
      </c>
      <c r="I529" s="23" t="s">
        <v>436</v>
      </c>
      <c r="J529" s="23"/>
      <c r="K529" s="6">
        <v>0.7</v>
      </c>
      <c r="L529" s="23" t="s">
        <v>376</v>
      </c>
      <c r="M529" s="23"/>
      <c r="N529" s="23"/>
      <c r="O529" s="23" t="e">
        <f t="shared" si="98"/>
        <v>#VALUE!</v>
      </c>
      <c r="P529" s="23"/>
      <c r="Q529" s="23"/>
      <c r="R529" s="27"/>
      <c r="S529" s="27"/>
      <c r="T529" s="23">
        <v>10421161</v>
      </c>
      <c r="U529" s="28">
        <v>4410322376529</v>
      </c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 t="s">
        <v>73</v>
      </c>
      <c r="AN529" s="23"/>
      <c r="AO529" s="23"/>
      <c r="AP529" s="23"/>
      <c r="AQ529" s="23"/>
      <c r="AR529" s="23"/>
      <c r="AS529" s="23" t="str">
        <f>IF(AND(AN529="Yes"), "Yes", IF(AND(AN529=""), "No", "Incomplete"))</f>
        <v>No</v>
      </c>
      <c r="AT529" s="29" t="str">
        <f t="shared" si="97"/>
        <v>NA</v>
      </c>
      <c r="AU529" s="30"/>
      <c r="AV529" s="31"/>
      <c r="AW529" s="31"/>
      <c r="AX529" s="2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</row>
    <row r="530" spans="1:74" x14ac:dyDescent="0.25">
      <c r="A530" s="25">
        <v>526</v>
      </c>
      <c r="B530" s="23" t="s">
        <v>1380</v>
      </c>
      <c r="C530" s="23" t="s">
        <v>1364</v>
      </c>
      <c r="D530" s="26" t="s">
        <v>1381</v>
      </c>
      <c r="E530" s="23">
        <v>5</v>
      </c>
      <c r="F530" s="23" t="s">
        <v>71</v>
      </c>
      <c r="G530" s="23">
        <f>VLOOKUP(C530,[2]Sheet2!$T$3:$V$92,3,FALSE)</f>
        <v>74</v>
      </c>
      <c r="H530" s="23" t="s">
        <v>68</v>
      </c>
      <c r="I530" s="23" t="s">
        <v>436</v>
      </c>
      <c r="J530" s="23"/>
      <c r="K530" s="6">
        <v>0</v>
      </c>
      <c r="L530" s="23"/>
      <c r="M530" s="23"/>
      <c r="N530" s="23"/>
      <c r="O530" s="23" t="e">
        <f t="shared" si="98"/>
        <v>#VALUE!</v>
      </c>
      <c r="P530" s="23"/>
      <c r="Q530" s="23"/>
      <c r="R530" s="27"/>
      <c r="S530" s="27"/>
      <c r="T530" s="23">
        <v>10362313</v>
      </c>
      <c r="U530" s="28">
        <v>4410383432763</v>
      </c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 t="s">
        <v>73</v>
      </c>
      <c r="AN530" s="23"/>
      <c r="AO530" s="23"/>
      <c r="AP530" s="23"/>
      <c r="AQ530" s="23"/>
      <c r="AR530" s="23"/>
      <c r="AS530" s="23" t="str">
        <f>IF(AND(AN530="Yes"), "Yes", IF(AND(AN530=""), "No", "Incomplete"))</f>
        <v>No</v>
      </c>
      <c r="AT530" s="29" t="str">
        <f t="shared" si="97"/>
        <v>NA</v>
      </c>
      <c r="AU530" s="30"/>
      <c r="AV530" s="31"/>
      <c r="AW530" s="31"/>
      <c r="AX530" s="2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</row>
    <row r="531" spans="1:74" x14ac:dyDescent="0.25">
      <c r="A531" s="25">
        <v>527</v>
      </c>
      <c r="B531" s="23" t="s">
        <v>1382</v>
      </c>
      <c r="C531" s="23" t="s">
        <v>1364</v>
      </c>
      <c r="D531" s="26" t="s">
        <v>1383</v>
      </c>
      <c r="E531" s="23">
        <v>4</v>
      </c>
      <c r="F531" s="23" t="s">
        <v>161</v>
      </c>
      <c r="G531" s="23">
        <f>VLOOKUP(C531,[2]Sheet2!$T$3:$V$92,3,FALSE)</f>
        <v>74</v>
      </c>
      <c r="H531" s="23" t="s">
        <v>68</v>
      </c>
      <c r="I531" s="23" t="s">
        <v>436</v>
      </c>
      <c r="J531" s="23"/>
      <c r="K531" s="6">
        <v>0.5</v>
      </c>
      <c r="L531" s="23" t="s">
        <v>192</v>
      </c>
      <c r="M531" s="43" t="s">
        <v>1158</v>
      </c>
      <c r="N531" s="43"/>
      <c r="O531" s="23" t="e">
        <f t="shared" si="98"/>
        <v>#VALUE!</v>
      </c>
      <c r="P531" s="43"/>
      <c r="Q531" s="43"/>
      <c r="R531" s="44">
        <v>41456</v>
      </c>
      <c r="S531" s="44">
        <v>44502</v>
      </c>
      <c r="T531" s="23">
        <v>50195580</v>
      </c>
      <c r="U531" s="28">
        <v>4170305888049</v>
      </c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 t="s">
        <v>73</v>
      </c>
      <c r="AN531" s="23"/>
      <c r="AO531" s="23"/>
      <c r="AP531" s="23"/>
      <c r="AQ531" s="23"/>
      <c r="AR531" s="23"/>
      <c r="AS531" s="23" t="str">
        <f>IF(AND(AN531="Yes"), "Yes", IF(AND(AN531=""), "No", "Incomplete"))</f>
        <v>No</v>
      </c>
      <c r="AT531" s="29" t="str">
        <f t="shared" si="97"/>
        <v>NA</v>
      </c>
      <c r="AU531" s="30"/>
      <c r="AV531" s="31"/>
      <c r="AW531" s="31"/>
      <c r="AX531" s="2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</row>
    <row r="532" spans="1:74" ht="28.5" x14ac:dyDescent="0.25">
      <c r="A532" s="25">
        <v>528</v>
      </c>
      <c r="B532" s="23" t="s">
        <v>1384</v>
      </c>
      <c r="C532" s="23" t="s">
        <v>1385</v>
      </c>
      <c r="D532" s="26" t="s">
        <v>1386</v>
      </c>
      <c r="E532" s="23">
        <v>17</v>
      </c>
      <c r="F532" s="23" t="s">
        <v>586</v>
      </c>
      <c r="G532" s="23">
        <f>VLOOKUP(C532,[2]Sheet2!$T$3:$V$92,3,FALSE)</f>
        <v>75</v>
      </c>
      <c r="H532" s="23" t="s">
        <v>54</v>
      </c>
      <c r="I532" s="23" t="s">
        <v>436</v>
      </c>
      <c r="J532" s="23"/>
      <c r="L532" s="23"/>
      <c r="M532" s="23"/>
      <c r="N532" s="23" t="s">
        <v>1387</v>
      </c>
      <c r="O532" s="23" t="e">
        <f ca="1">IF(ISNUMBER(SEARCH("to", N532)),
_xlfn.LET(
    _xlpm.text_n3, N532,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32" s="23"/>
      <c r="Q532" s="23" t="s">
        <v>57</v>
      </c>
      <c r="R532" s="27"/>
      <c r="S532" s="27"/>
      <c r="T532" s="23"/>
      <c r="U532" s="28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 t="s">
        <v>41</v>
      </c>
      <c r="AN532" s="23"/>
      <c r="AO532" s="23"/>
      <c r="AP532" s="23"/>
      <c r="AQ532" s="23"/>
      <c r="AR532" s="23"/>
      <c r="AS532" s="23" t="str">
        <f>IF(AND(AN532="Yes", AO532="Yes", AP532="Yes"), "Yes", IF(AND(AN532="", AO532="", AP532=""), "No", "Incomplete"))</f>
        <v>No</v>
      </c>
      <c r="AT532" s="29" t="str">
        <f t="shared" si="97"/>
        <v>No</v>
      </c>
      <c r="AU532" s="30"/>
      <c r="AV532" s="31"/>
      <c r="AW532" s="31"/>
      <c r="AX532" s="2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</row>
    <row r="533" spans="1:74" x14ac:dyDescent="0.25">
      <c r="A533" s="25">
        <v>529</v>
      </c>
      <c r="B533" s="23" t="s">
        <v>1388</v>
      </c>
      <c r="C533" s="23" t="s">
        <v>1385</v>
      </c>
      <c r="D533" s="26" t="s">
        <v>1389</v>
      </c>
      <c r="E533" s="23">
        <v>16</v>
      </c>
      <c r="F533" s="23" t="s">
        <v>67</v>
      </c>
      <c r="G533" s="23">
        <f>VLOOKUP(C533,[2]Sheet2!$T$3:$V$92,3,FALSE)</f>
        <v>75</v>
      </c>
      <c r="H533" s="23" t="s">
        <v>68</v>
      </c>
      <c r="I533" s="23" t="s">
        <v>436</v>
      </c>
      <c r="J533" s="23"/>
      <c r="K533" s="6">
        <v>0</v>
      </c>
      <c r="L533" s="23"/>
      <c r="M533" s="23"/>
      <c r="N533" s="23"/>
      <c r="O533" s="23" t="e">
        <f>IF(DATEVALUE(MID(N533,15,10))-DATEVALUE(LEFT(N533,10))+1&gt;=365,"1 Year",
DATEDIF(DATEVALUE(LEFT(N533,10)),DATEVALUE(MID(N533,15,10)),"Y")&amp;" Years, "&amp;DATEDIF(DATEVALUE(LEFT(N533,10)),DATEVALUE(MID(N533,15,10)),"YM")&amp;" Months, "&amp;DATEDIF(DATEVALUE(LEFT(N533,10)),DATEVALUE(MID(N533,15,10)),"MD")&amp;" Days")</f>
        <v>#VALUE!</v>
      </c>
      <c r="P533" s="23"/>
      <c r="Q533" s="23"/>
      <c r="R533" s="27"/>
      <c r="S533" s="27"/>
      <c r="T533" s="23">
        <v>10178473</v>
      </c>
      <c r="U533" s="28">
        <v>4320376378791</v>
      </c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 t="s">
        <v>41</v>
      </c>
      <c r="AN533" s="23" t="s">
        <v>58</v>
      </c>
      <c r="AO533" s="23" t="s">
        <v>58</v>
      </c>
      <c r="AP533" s="23" t="s">
        <v>58</v>
      </c>
      <c r="AQ533" s="23"/>
      <c r="AR533" s="23"/>
      <c r="AS533" s="23" t="str">
        <f>IF(AND(AN533="Yes", AO533="Yes", AP533="Yes"), "Yes", IF(AND(AN533="", AO533="", AP533=""), "No", "Incomplete"))</f>
        <v>Yes</v>
      </c>
      <c r="AT533" s="29" t="str">
        <f t="shared" si="97"/>
        <v>Yes</v>
      </c>
      <c r="AU533" s="30"/>
      <c r="AV533" s="31"/>
      <c r="AW533" s="31"/>
      <c r="AX533" s="2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</row>
    <row r="534" spans="1:74" x14ac:dyDescent="0.25">
      <c r="A534" s="25">
        <v>530</v>
      </c>
      <c r="B534" s="23" t="s">
        <v>1390</v>
      </c>
      <c r="C534" s="23" t="s">
        <v>1385</v>
      </c>
      <c r="D534" s="26" t="s">
        <v>1391</v>
      </c>
      <c r="E534" s="23">
        <v>13</v>
      </c>
      <c r="F534" s="23" t="s">
        <v>131</v>
      </c>
      <c r="G534" s="23">
        <f>VLOOKUP(C534,[2]Sheet2!$T$3:$V$92,3,FALSE)</f>
        <v>75</v>
      </c>
      <c r="H534" s="23" t="s">
        <v>68</v>
      </c>
      <c r="I534" s="23" t="s">
        <v>436</v>
      </c>
      <c r="J534" s="23"/>
      <c r="K534" s="6">
        <v>0</v>
      </c>
      <c r="L534" s="23"/>
      <c r="M534" s="23"/>
      <c r="N534" s="23"/>
      <c r="O534" s="23" t="e">
        <f>IF(DATEVALUE(MID(N534,15,10))-DATEVALUE(LEFT(N534,10))+1&gt;=365,"1 Year",
DATEDIF(DATEVALUE(LEFT(N534,10)),DATEVALUE(MID(N534,15,10)),"Y")&amp;" Years, "&amp;DATEDIF(DATEVALUE(LEFT(N534,10)),DATEVALUE(MID(N534,15,10)),"YM")&amp;" Months, "&amp;DATEDIF(DATEVALUE(LEFT(N534,10)),DATEVALUE(MID(N534,15,10)),"MD")&amp;" Days")</f>
        <v>#VALUE!</v>
      </c>
      <c r="P534" s="23"/>
      <c r="Q534" s="23"/>
      <c r="R534" s="27"/>
      <c r="S534" s="27"/>
      <c r="T534" s="23">
        <v>10432800</v>
      </c>
      <c r="U534" s="28">
        <v>4430325597417</v>
      </c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 t="s">
        <v>41</v>
      </c>
      <c r="AN534" s="23"/>
      <c r="AO534" s="23"/>
      <c r="AP534" s="23" t="s">
        <v>58</v>
      </c>
      <c r="AQ534" s="23"/>
      <c r="AR534" s="23"/>
      <c r="AS534" s="23" t="str">
        <f>IF(AND(AN534="Yes", AO534="Yes"), "Yes", IF(AND(AN534="", AO534=""), "No", "Incomplete"))</f>
        <v>No</v>
      </c>
      <c r="AT534" s="29" t="str">
        <f t="shared" si="97"/>
        <v>Yes</v>
      </c>
      <c r="AU534" s="30"/>
      <c r="AV534" s="31"/>
      <c r="AW534" s="31"/>
      <c r="AX534" s="2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</row>
    <row r="535" spans="1:74" x14ac:dyDescent="0.25">
      <c r="A535" s="25">
        <v>531</v>
      </c>
      <c r="B535" s="23" t="s">
        <v>1392</v>
      </c>
      <c r="C535" s="23" t="s">
        <v>1385</v>
      </c>
      <c r="D535" s="26" t="s">
        <v>1393</v>
      </c>
      <c r="E535" s="23">
        <v>4</v>
      </c>
      <c r="F535" s="23" t="s">
        <v>161</v>
      </c>
      <c r="G535" s="23">
        <f>VLOOKUP(C535,[2]Sheet2!$T$3:$V$92,3,FALSE)</f>
        <v>75</v>
      </c>
      <c r="H535" s="23" t="s">
        <v>68</v>
      </c>
      <c r="I535" s="23" t="s">
        <v>436</v>
      </c>
      <c r="J535" s="23"/>
      <c r="K535" s="6">
        <v>0</v>
      </c>
      <c r="L535" s="23"/>
      <c r="M535" s="43" t="s">
        <v>1158</v>
      </c>
      <c r="N535" s="43"/>
      <c r="O535" s="23" t="e">
        <f>IF(DATEVALUE(MID(N535,15,10))-DATEVALUE(LEFT(N535,10))+1&gt;=365,"1 Year",
DATEDIF(DATEVALUE(LEFT(N535,10)),DATEVALUE(MID(N535,15,10)),"Y")&amp;" Years, "&amp;DATEDIF(DATEVALUE(LEFT(N535,10)),DATEVALUE(MID(N535,15,10)),"YM")&amp;" Months, "&amp;DATEDIF(DATEVALUE(LEFT(N535,10)),DATEVALUE(MID(N535,15,10)),"MD")&amp;" Days")</f>
        <v>#VALUE!</v>
      </c>
      <c r="P535" s="43"/>
      <c r="Q535" s="43"/>
      <c r="R535" s="44">
        <v>41456</v>
      </c>
      <c r="S535" s="44">
        <v>44496</v>
      </c>
      <c r="T535" s="23">
        <v>50188561</v>
      </c>
      <c r="U535" s="28">
        <v>4170305904199</v>
      </c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 t="s">
        <v>73</v>
      </c>
      <c r="AN535" s="23"/>
      <c r="AO535" s="23"/>
      <c r="AP535" s="23"/>
      <c r="AQ535" s="23"/>
      <c r="AR535" s="23"/>
      <c r="AS535" s="23" t="str">
        <f>IF(AND(AN535="Yes"), "Yes", IF(AND(AN535=""), "No", "Incomplete"))</f>
        <v>No</v>
      </c>
      <c r="AT535" s="29" t="str">
        <f t="shared" si="97"/>
        <v>NA</v>
      </c>
      <c r="AU535" s="30"/>
      <c r="AV535" s="31"/>
      <c r="AW535" s="31"/>
      <c r="AX535" s="2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</row>
    <row r="536" spans="1:74" x14ac:dyDescent="0.25">
      <c r="A536" s="25">
        <v>532</v>
      </c>
      <c r="B536" s="23" t="s">
        <v>1394</v>
      </c>
      <c r="C536" s="23" t="s">
        <v>1385</v>
      </c>
      <c r="D536" s="26" t="s">
        <v>1395</v>
      </c>
      <c r="E536" s="23">
        <v>4</v>
      </c>
      <c r="F536" s="23" t="s">
        <v>71</v>
      </c>
      <c r="G536" s="23">
        <f>VLOOKUP(C536,[2]Sheet2!$T$3:$V$92,3,FALSE)</f>
        <v>75</v>
      </c>
      <c r="H536" s="23" t="s">
        <v>68</v>
      </c>
      <c r="I536" s="23" t="s">
        <v>436</v>
      </c>
      <c r="J536" s="23"/>
      <c r="K536" s="6">
        <v>0.5</v>
      </c>
      <c r="L536" s="23" t="s">
        <v>192</v>
      </c>
      <c r="M536" s="23"/>
      <c r="N536" s="23"/>
      <c r="O536" s="23" t="e">
        <f>IF(DATEVALUE(MID(N536,15,10))-DATEVALUE(LEFT(N536,10))+1&gt;=365,"1 Year",
DATEDIF(DATEVALUE(LEFT(N536,10)),DATEVALUE(MID(N536,15,10)),"Y")&amp;" Years, "&amp;DATEDIF(DATEVALUE(LEFT(N536,10)),DATEVALUE(MID(N536,15,10)),"YM")&amp;" Months, "&amp;DATEDIF(DATEVALUE(LEFT(N536,10)),DATEVALUE(MID(N536,15,10)),"MD")&amp;" Days")</f>
        <v>#VALUE!</v>
      </c>
      <c r="P536" s="23"/>
      <c r="Q536" s="23"/>
      <c r="R536" s="27"/>
      <c r="S536" s="27"/>
      <c r="T536" s="23">
        <v>50701955</v>
      </c>
      <c r="U536" s="28">
        <v>4440169181905</v>
      </c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 t="s">
        <v>73</v>
      </c>
      <c r="AN536" s="23"/>
      <c r="AO536" s="23"/>
      <c r="AP536" s="23"/>
      <c r="AQ536" s="23"/>
      <c r="AR536" s="23"/>
      <c r="AS536" s="23" t="str">
        <f>IF(AND(AN536="Yes"), "Yes", IF(AND(AN536=""), "No", "Incomplete"))</f>
        <v>No</v>
      </c>
      <c r="AT536" s="29" t="str">
        <f t="shared" si="97"/>
        <v>NA</v>
      </c>
      <c r="AU536" s="30"/>
      <c r="AV536" s="31"/>
      <c r="AW536" s="31"/>
      <c r="AX536" s="2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</row>
    <row r="537" spans="1:74" x14ac:dyDescent="0.25">
      <c r="A537" s="25">
        <v>533</v>
      </c>
      <c r="B537" s="23" t="s">
        <v>1396</v>
      </c>
      <c r="C537" s="23" t="s">
        <v>1397</v>
      </c>
      <c r="D537" s="45" t="s">
        <v>1398</v>
      </c>
      <c r="E537" s="23">
        <v>18</v>
      </c>
      <c r="F537" s="23" t="s">
        <v>440</v>
      </c>
      <c r="G537" s="23">
        <f>VLOOKUP(C537,[2]Sheet2!$T$3:$V$92,3,FALSE)</f>
        <v>76</v>
      </c>
      <c r="H537" s="23" t="s">
        <v>54</v>
      </c>
      <c r="I537" s="23" t="s">
        <v>436</v>
      </c>
      <c r="J537" s="23"/>
      <c r="L537" s="23"/>
      <c r="M537" s="23"/>
      <c r="N537" s="23" t="s">
        <v>56</v>
      </c>
      <c r="O537" s="23" t="e">
        <f ca="1">IF(ISNUMBER(SEARCH("to", N537)),
_xlfn.LET(
    _xlpm.text_n3, N537,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37" s="23"/>
      <c r="Q537" s="23" t="s">
        <v>57</v>
      </c>
      <c r="R537" s="27"/>
      <c r="S537" s="27"/>
      <c r="T537" s="23">
        <v>10416828</v>
      </c>
      <c r="U537" s="28">
        <v>4130772900573</v>
      </c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 t="s">
        <v>42</v>
      </c>
      <c r="AN537" s="23"/>
      <c r="AO537" s="23"/>
      <c r="AP537" s="23" t="s">
        <v>58</v>
      </c>
      <c r="AQ537" s="23" t="s">
        <v>58</v>
      </c>
      <c r="AR537" s="23"/>
      <c r="AS537" s="23" t="str">
        <f t="shared" ref="AS537:AS542" si="99">IF(AND(AN537="Yes", AO537="Yes", AP537="Yes"), "Yes", IF(AND(AN537="", AO537="", AP537=""), "No", "Incomplete"))</f>
        <v>Incomplete</v>
      </c>
      <c r="AT537" s="29" t="str">
        <f t="shared" si="97"/>
        <v>Yes</v>
      </c>
      <c r="AU537" s="30"/>
      <c r="AV537" s="31"/>
      <c r="AW537" s="31" t="s">
        <v>59</v>
      </c>
      <c r="AX537" s="2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</row>
    <row r="538" spans="1:74" x14ac:dyDescent="0.25">
      <c r="A538" s="25">
        <v>534</v>
      </c>
      <c r="B538" s="23" t="s">
        <v>1399</v>
      </c>
      <c r="C538" s="23" t="s">
        <v>1397</v>
      </c>
      <c r="D538" s="26" t="s">
        <v>1400</v>
      </c>
      <c r="E538" s="23">
        <v>17</v>
      </c>
      <c r="F538" s="23" t="s">
        <v>586</v>
      </c>
      <c r="G538" s="23">
        <f>VLOOKUP(C538,[2]Sheet2!$T$3:$V$92,3,FALSE)</f>
        <v>76</v>
      </c>
      <c r="H538" s="23" t="s">
        <v>54</v>
      </c>
      <c r="I538" s="23" t="s">
        <v>436</v>
      </c>
      <c r="J538" s="23"/>
      <c r="L538" s="23"/>
      <c r="M538" s="23"/>
      <c r="N538" s="23" t="s">
        <v>56</v>
      </c>
      <c r="O538" s="23" t="e">
        <f ca="1">IF(ISNUMBER(SEARCH("to", N538)),
_xlfn.LET(
    _xlpm.text_n3, N538,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38" s="23"/>
      <c r="Q538" s="23" t="s">
        <v>57</v>
      </c>
      <c r="R538" s="27"/>
      <c r="S538" s="27"/>
      <c r="T538" s="23">
        <v>10422562</v>
      </c>
      <c r="U538" s="28">
        <v>4130768735533</v>
      </c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 t="s">
        <v>41</v>
      </c>
      <c r="AN538" s="23" t="s">
        <v>58</v>
      </c>
      <c r="AO538" s="23" t="s">
        <v>121</v>
      </c>
      <c r="AP538" s="32" t="s">
        <v>58</v>
      </c>
      <c r="AQ538" s="23"/>
      <c r="AR538" s="23"/>
      <c r="AS538" s="23" t="str">
        <f t="shared" si="99"/>
        <v>Incomplete</v>
      </c>
      <c r="AT538" s="29" t="str">
        <f t="shared" si="97"/>
        <v>Yes</v>
      </c>
      <c r="AU538" s="30"/>
      <c r="AV538" s="31"/>
      <c r="AW538" s="31" t="s">
        <v>59</v>
      </c>
      <c r="AX538" s="2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</row>
    <row r="539" spans="1:74" x14ac:dyDescent="0.25">
      <c r="A539" s="25">
        <v>535</v>
      </c>
      <c r="B539" s="23" t="s">
        <v>1401</v>
      </c>
      <c r="C539" s="23" t="s">
        <v>1397</v>
      </c>
      <c r="D539" s="26" t="s">
        <v>1402</v>
      </c>
      <c r="E539" s="23">
        <v>16</v>
      </c>
      <c r="F539" s="23" t="s">
        <v>67</v>
      </c>
      <c r="G539" s="23">
        <f>VLOOKUP(C539,[2]Sheet2!$T$3:$V$92,3,FALSE)</f>
        <v>76</v>
      </c>
      <c r="H539" s="23" t="s">
        <v>68</v>
      </c>
      <c r="I539" s="23" t="s">
        <v>436</v>
      </c>
      <c r="J539" s="23"/>
      <c r="K539" s="6">
        <v>0</v>
      </c>
      <c r="L539" s="23"/>
      <c r="M539" s="23"/>
      <c r="N539" s="23"/>
      <c r="O539" s="23" t="e">
        <f t="shared" ref="O539:O550" si="100">IF(DATEVALUE(MID(N539,15,10))-DATEVALUE(LEFT(N539,10))+1&gt;=365,"1 Year",
DATEDIF(DATEVALUE(LEFT(N539,10)),DATEVALUE(MID(N539,15,10)),"Y")&amp;" Years, "&amp;DATEDIF(DATEVALUE(LEFT(N539,10)),DATEVALUE(MID(N539,15,10)),"YM")&amp;" Months, "&amp;DATEDIF(DATEVALUE(LEFT(N539,10)),DATEVALUE(MID(N539,15,10)),"MD")&amp;" Days")</f>
        <v>#VALUE!</v>
      </c>
      <c r="P539" s="23"/>
      <c r="Q539" s="23"/>
      <c r="R539" s="27"/>
      <c r="S539" s="27"/>
      <c r="T539" s="23">
        <v>10460383</v>
      </c>
      <c r="U539" s="28">
        <v>4420306034663</v>
      </c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 t="s">
        <v>42</v>
      </c>
      <c r="AN539" s="23"/>
      <c r="AO539" s="23"/>
      <c r="AP539" s="23"/>
      <c r="AQ539" s="23" t="s">
        <v>58</v>
      </c>
      <c r="AR539" s="23"/>
      <c r="AS539" s="23" t="str">
        <f t="shared" si="99"/>
        <v>No</v>
      </c>
      <c r="AT539" s="29" t="str">
        <f t="shared" si="97"/>
        <v>Yes</v>
      </c>
      <c r="AU539" s="30"/>
      <c r="AV539" s="31"/>
      <c r="AW539" s="31"/>
      <c r="AX539" s="2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</row>
    <row r="540" spans="1:74" x14ac:dyDescent="0.25">
      <c r="A540" s="25">
        <v>96</v>
      </c>
      <c r="B540" s="23" t="s">
        <v>1403</v>
      </c>
      <c r="C540" s="23" t="s">
        <v>1397</v>
      </c>
      <c r="D540" s="26" t="s">
        <v>66</v>
      </c>
      <c r="E540" s="23">
        <v>14</v>
      </c>
      <c r="F540" s="23" t="s">
        <v>108</v>
      </c>
      <c r="G540" s="23">
        <f>VLOOKUP(C540,[2]Sheet2!$T$3:$V$92,3,FALSE)</f>
        <v>76</v>
      </c>
      <c r="H540" s="23" t="s">
        <v>68</v>
      </c>
      <c r="I540" s="23" t="s">
        <v>436</v>
      </c>
      <c r="J540" s="23" t="e">
        <v>#N/A</v>
      </c>
      <c r="K540" s="6" t="e">
        <v>#N/A</v>
      </c>
      <c r="L540" s="23" t="e">
        <v>#N/A</v>
      </c>
      <c r="M540" s="23"/>
      <c r="N540" s="23"/>
      <c r="O540" s="23" t="e">
        <f t="shared" si="100"/>
        <v>#VALUE!</v>
      </c>
      <c r="P540" s="23"/>
      <c r="Q540" s="23"/>
      <c r="R540" s="27"/>
      <c r="S540" s="27"/>
      <c r="T540" s="23"/>
      <c r="U540" s="28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 t="s">
        <v>66</v>
      </c>
      <c r="AN540" s="23"/>
      <c r="AO540" s="23"/>
      <c r="AP540" s="23"/>
      <c r="AQ540" s="23"/>
      <c r="AR540" s="23"/>
      <c r="AS540" s="23" t="str">
        <f t="shared" si="99"/>
        <v>No</v>
      </c>
      <c r="AT540" s="29" t="str">
        <f t="shared" si="97"/>
        <v>Vacant</v>
      </c>
      <c r="AU540" s="30"/>
      <c r="AV540" s="31"/>
      <c r="AW540" s="31"/>
      <c r="AX540" s="2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</row>
    <row r="541" spans="1:74" x14ac:dyDescent="0.25">
      <c r="A541" s="25">
        <v>537</v>
      </c>
      <c r="B541" s="23" t="s">
        <v>1404</v>
      </c>
      <c r="C541" s="23" t="s">
        <v>1397</v>
      </c>
      <c r="D541" s="26" t="s">
        <v>1405</v>
      </c>
      <c r="E541" s="23">
        <v>15</v>
      </c>
      <c r="F541" s="23" t="s">
        <v>108</v>
      </c>
      <c r="G541" s="23">
        <f>VLOOKUP(C541,[2]Sheet2!$T$3:$V$92,3,FALSE)</f>
        <v>76</v>
      </c>
      <c r="H541" s="23" t="s">
        <v>68</v>
      </c>
      <c r="I541" s="23" t="s">
        <v>436</v>
      </c>
      <c r="J541" s="23"/>
      <c r="K541" s="6">
        <v>0</v>
      </c>
      <c r="L541" s="23"/>
      <c r="M541" s="23"/>
      <c r="N541" s="23"/>
      <c r="O541" s="23" t="e">
        <f t="shared" si="100"/>
        <v>#VALUE!</v>
      </c>
      <c r="P541" s="23"/>
      <c r="Q541" s="23"/>
      <c r="R541" s="27"/>
      <c r="S541" s="27"/>
      <c r="T541" s="23">
        <v>50698522</v>
      </c>
      <c r="U541" s="28">
        <v>4410304211079</v>
      </c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 t="s">
        <v>41</v>
      </c>
      <c r="AN541" s="23"/>
      <c r="AO541" s="23"/>
      <c r="AP541" s="23" t="s">
        <v>58</v>
      </c>
      <c r="AQ541" s="23"/>
      <c r="AR541" s="23"/>
      <c r="AS541" s="23" t="str">
        <f t="shared" si="99"/>
        <v>Incomplete</v>
      </c>
      <c r="AT541" s="29" t="str">
        <f t="shared" si="97"/>
        <v>Yes</v>
      </c>
      <c r="AU541" s="30"/>
      <c r="AV541" s="31"/>
      <c r="AW541" s="31"/>
      <c r="AX541" s="2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</row>
    <row r="542" spans="1:74" x14ac:dyDescent="0.25">
      <c r="A542" s="25">
        <v>538</v>
      </c>
      <c r="B542" s="23" t="s">
        <v>1406</v>
      </c>
      <c r="C542" s="23" t="s">
        <v>1397</v>
      </c>
      <c r="D542" s="26" t="s">
        <v>1407</v>
      </c>
      <c r="E542" s="23">
        <v>14</v>
      </c>
      <c r="F542" s="23" t="s">
        <v>108</v>
      </c>
      <c r="G542" s="23">
        <f>VLOOKUP(C542,[2]Sheet2!$T$3:$V$92,3,FALSE)</f>
        <v>76</v>
      </c>
      <c r="H542" s="23" t="s">
        <v>68</v>
      </c>
      <c r="I542" s="23" t="s">
        <v>436</v>
      </c>
      <c r="J542" s="23">
        <v>2</v>
      </c>
      <c r="K542" s="6">
        <v>0.6</v>
      </c>
      <c r="L542" s="23" t="s">
        <v>111</v>
      </c>
      <c r="M542" s="23"/>
      <c r="N542" s="23"/>
      <c r="O542" s="23" t="e">
        <f t="shared" si="100"/>
        <v>#VALUE!</v>
      </c>
      <c r="P542" s="23"/>
      <c r="Q542" s="23"/>
      <c r="R542" s="27"/>
      <c r="S542" s="27"/>
      <c r="T542" s="23">
        <v>50746546</v>
      </c>
      <c r="U542" s="28">
        <v>4170106563577</v>
      </c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 t="s">
        <v>41</v>
      </c>
      <c r="AN542" s="32" t="s">
        <v>58</v>
      </c>
      <c r="AO542" s="32" t="s">
        <v>58</v>
      </c>
      <c r="AP542" s="32" t="s">
        <v>58</v>
      </c>
      <c r="AQ542" s="23"/>
      <c r="AR542" s="23" t="s">
        <v>398</v>
      </c>
      <c r="AS542" s="23" t="str">
        <f t="shared" si="99"/>
        <v>Yes</v>
      </c>
      <c r="AT542" s="29" t="str">
        <f t="shared" si="97"/>
        <v>Yes</v>
      </c>
      <c r="AU542" s="30"/>
      <c r="AV542" s="31" t="s">
        <v>64</v>
      </c>
      <c r="AW542" s="31"/>
      <c r="AX542" s="2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</row>
    <row r="543" spans="1:74" x14ac:dyDescent="0.25">
      <c r="A543" s="25">
        <v>440</v>
      </c>
      <c r="B543" s="23" t="s">
        <v>1408</v>
      </c>
      <c r="C543" s="23" t="s">
        <v>1397</v>
      </c>
      <c r="D543" s="26" t="s">
        <v>1409</v>
      </c>
      <c r="E543" s="23">
        <v>13</v>
      </c>
      <c r="F543" s="23" t="s">
        <v>131</v>
      </c>
      <c r="G543" s="23">
        <f>VLOOKUP(C543,[2]Sheet2!$T$3:$V$92,3,FALSE)</f>
        <v>76</v>
      </c>
      <c r="H543" s="23" t="s">
        <v>68</v>
      </c>
      <c r="I543" s="23" t="s">
        <v>436</v>
      </c>
      <c r="J543" s="23"/>
      <c r="K543" s="6">
        <v>0</v>
      </c>
      <c r="L543" s="23"/>
      <c r="M543" s="23"/>
      <c r="N543" s="23"/>
      <c r="O543" s="23" t="e">
        <f t="shared" si="100"/>
        <v>#VALUE!</v>
      </c>
      <c r="P543" s="23"/>
      <c r="Q543" s="23"/>
      <c r="R543" s="27">
        <v>42076</v>
      </c>
      <c r="S543" s="27">
        <v>45953</v>
      </c>
      <c r="T543" s="23">
        <v>50227771</v>
      </c>
      <c r="U543" s="28">
        <v>4130495068539</v>
      </c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 t="s">
        <v>40</v>
      </c>
      <c r="AN543" s="32" t="s">
        <v>58</v>
      </c>
      <c r="AO543" s="32" t="s">
        <v>58</v>
      </c>
      <c r="AP543" s="23"/>
      <c r="AQ543" s="23"/>
      <c r="AR543" s="23"/>
      <c r="AS543" s="23" t="str">
        <f>IF(AND(AN543="Yes", AO543="Yes"), "Yes", IF(AND(AN543="", AO543=""), "No", "Incomplete"))</f>
        <v>Yes</v>
      </c>
      <c r="AT543" s="29" t="str">
        <f t="shared" si="97"/>
        <v>Yes</v>
      </c>
      <c r="AU543" s="30"/>
      <c r="AV543" s="31"/>
      <c r="AW543" s="31" t="s">
        <v>59</v>
      </c>
      <c r="AX543" s="2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</row>
    <row r="544" spans="1:74" x14ac:dyDescent="0.25">
      <c r="A544" s="25">
        <v>540</v>
      </c>
      <c r="B544" s="23" t="s">
        <v>1410</v>
      </c>
      <c r="C544" s="23" t="s">
        <v>1397</v>
      </c>
      <c r="D544" s="26" t="s">
        <v>1411</v>
      </c>
      <c r="E544" s="23">
        <v>11</v>
      </c>
      <c r="F544" s="23" t="s">
        <v>138</v>
      </c>
      <c r="G544" s="23">
        <f>VLOOKUP(C544,[2]Sheet2!$T$3:$V$92,3,FALSE)</f>
        <v>76</v>
      </c>
      <c r="H544" s="23" t="s">
        <v>68</v>
      </c>
      <c r="I544" s="23" t="s">
        <v>436</v>
      </c>
      <c r="J544" s="23"/>
      <c r="K544" s="6">
        <v>0.75</v>
      </c>
      <c r="L544" s="23" t="s">
        <v>376</v>
      </c>
      <c r="M544" s="23"/>
      <c r="N544" s="23"/>
      <c r="O544" s="23" t="e">
        <f t="shared" si="100"/>
        <v>#VALUE!</v>
      </c>
      <c r="P544" s="23"/>
      <c r="Q544" s="23"/>
      <c r="R544" s="27"/>
      <c r="S544" s="27"/>
      <c r="T544" s="23">
        <v>10736547</v>
      </c>
      <c r="U544" s="28">
        <v>4410334787527</v>
      </c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 t="s">
        <v>41</v>
      </c>
      <c r="AN544" s="23"/>
      <c r="AO544" s="23"/>
      <c r="AP544" s="23" t="s">
        <v>58</v>
      </c>
      <c r="AQ544" s="23"/>
      <c r="AR544" s="23"/>
      <c r="AS544" s="23" t="str">
        <f t="shared" ref="AS544:AS550" si="101">IF(AND(AN544="Yes"), "Yes", IF(AND(AN544=""), "No", "Incomplete"))</f>
        <v>No</v>
      </c>
      <c r="AT544" s="29" t="str">
        <f t="shared" si="97"/>
        <v>Yes</v>
      </c>
      <c r="AU544" s="30"/>
      <c r="AV544" s="31"/>
      <c r="AW544" s="31"/>
      <c r="AX544" s="2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</row>
    <row r="545" spans="1:74" x14ac:dyDescent="0.25">
      <c r="A545" s="25">
        <v>541</v>
      </c>
      <c r="B545" s="23" t="s">
        <v>1412</v>
      </c>
      <c r="C545" s="23" t="s">
        <v>1397</v>
      </c>
      <c r="D545" s="26" t="s">
        <v>66</v>
      </c>
      <c r="E545" s="23">
        <v>11</v>
      </c>
      <c r="F545" s="23" t="s">
        <v>138</v>
      </c>
      <c r="G545" s="23">
        <f>VLOOKUP(C545,[2]Sheet2!$T$3:$V$92,3,FALSE)</f>
        <v>76</v>
      </c>
      <c r="H545" s="23" t="s">
        <v>68</v>
      </c>
      <c r="I545" s="23" t="s">
        <v>436</v>
      </c>
      <c r="J545" s="23"/>
      <c r="L545" s="23"/>
      <c r="M545" s="23"/>
      <c r="N545" s="23"/>
      <c r="O545" s="23" t="e">
        <f t="shared" si="100"/>
        <v>#VALUE!</v>
      </c>
      <c r="P545" s="23"/>
      <c r="Q545" s="23"/>
      <c r="R545" s="27"/>
      <c r="S545" s="27"/>
      <c r="T545" s="23"/>
      <c r="U545" s="28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 t="s">
        <v>66</v>
      </c>
      <c r="AN545" s="32"/>
      <c r="AO545" s="23"/>
      <c r="AP545" s="32"/>
      <c r="AQ545" s="23"/>
      <c r="AR545" s="23"/>
      <c r="AS545" s="23" t="str">
        <f t="shared" si="101"/>
        <v>No</v>
      </c>
      <c r="AT545" s="29" t="str">
        <f t="shared" si="97"/>
        <v>Vacant</v>
      </c>
      <c r="AU545" s="30"/>
      <c r="AV545" s="31"/>
      <c r="AW545" s="31"/>
      <c r="AX545" s="2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</row>
    <row r="546" spans="1:74" x14ac:dyDescent="0.25">
      <c r="A546" s="25">
        <v>542</v>
      </c>
      <c r="B546" s="23" t="s">
        <v>1413</v>
      </c>
      <c r="C546" s="23" t="s">
        <v>1397</v>
      </c>
      <c r="D546" s="26" t="s">
        <v>559</v>
      </c>
      <c r="E546" s="23">
        <v>7</v>
      </c>
      <c r="F546" s="23" t="s">
        <v>264</v>
      </c>
      <c r="G546" s="23">
        <f>VLOOKUP(C546,[2]Sheet2!$T$3:$V$92,3,FALSE)</f>
        <v>76</v>
      </c>
      <c r="H546" s="23" t="s">
        <v>68</v>
      </c>
      <c r="I546" s="23" t="s">
        <v>436</v>
      </c>
      <c r="J546" s="23">
        <v>3</v>
      </c>
      <c r="K546" s="6">
        <v>0.8</v>
      </c>
      <c r="L546" s="23" t="s">
        <v>574</v>
      </c>
      <c r="M546" s="23"/>
      <c r="N546" s="23"/>
      <c r="O546" s="23" t="e">
        <f t="shared" si="100"/>
        <v>#VALUE!</v>
      </c>
      <c r="P546" s="23"/>
      <c r="Q546" s="23"/>
      <c r="R546" s="27"/>
      <c r="S546" s="27"/>
      <c r="T546" s="23">
        <v>50219794</v>
      </c>
      <c r="U546" s="28">
        <v>4170106208523</v>
      </c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 t="s">
        <v>39</v>
      </c>
      <c r="AN546" s="23" t="s">
        <v>58</v>
      </c>
      <c r="AO546" s="23"/>
      <c r="AP546" s="23"/>
      <c r="AQ546" s="23"/>
      <c r="AR546" s="23"/>
      <c r="AS546" s="23" t="str">
        <f t="shared" si="101"/>
        <v>Yes</v>
      </c>
      <c r="AT546" s="29" t="str">
        <f t="shared" si="97"/>
        <v>Yes</v>
      </c>
      <c r="AU546" s="30"/>
      <c r="AV546" s="31" t="s">
        <v>64</v>
      </c>
      <c r="AW546" s="31"/>
      <c r="AX546" s="2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</row>
    <row r="547" spans="1:74" x14ac:dyDescent="0.25">
      <c r="A547" s="25">
        <v>545</v>
      </c>
      <c r="B547" s="23" t="s">
        <v>1414</v>
      </c>
      <c r="C547" s="23" t="s">
        <v>1397</v>
      </c>
      <c r="D547" s="26" t="s">
        <v>1415</v>
      </c>
      <c r="E547" s="23">
        <v>4</v>
      </c>
      <c r="F547" s="23" t="s">
        <v>71</v>
      </c>
      <c r="G547" s="23">
        <f>VLOOKUP(C547,[2]Sheet2!$T$3:$V$92,3,FALSE)</f>
        <v>76</v>
      </c>
      <c r="H547" s="23" t="s">
        <v>68</v>
      </c>
      <c r="I547" s="23" t="s">
        <v>436</v>
      </c>
      <c r="J547" s="23"/>
      <c r="K547" s="6">
        <v>0</v>
      </c>
      <c r="L547" s="23"/>
      <c r="M547" s="23"/>
      <c r="N547" s="23"/>
      <c r="O547" s="23" t="e">
        <f t="shared" si="100"/>
        <v>#VALUE!</v>
      </c>
      <c r="P547" s="23"/>
      <c r="Q547" s="23"/>
      <c r="R547" s="27"/>
      <c r="S547" s="27"/>
      <c r="T547" s="23">
        <v>50387841</v>
      </c>
      <c r="U547" s="28">
        <v>4410382615743</v>
      </c>
      <c r="V547" s="23"/>
      <c r="W547" s="23" t="s">
        <v>212</v>
      </c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 t="s">
        <v>41</v>
      </c>
      <c r="AN547" s="23"/>
      <c r="AO547" s="23" t="s">
        <v>58</v>
      </c>
      <c r="AP547" s="32" t="s">
        <v>58</v>
      </c>
      <c r="AQ547" s="23"/>
      <c r="AR547" s="23"/>
      <c r="AS547" s="23" t="str">
        <f t="shared" si="101"/>
        <v>No</v>
      </c>
      <c r="AT547" s="29" t="str">
        <f t="shared" si="97"/>
        <v>Yes</v>
      </c>
      <c r="AU547" s="30"/>
      <c r="AV547" s="31"/>
      <c r="AW547" s="31"/>
      <c r="AX547" s="2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</row>
    <row r="548" spans="1:74" x14ac:dyDescent="0.25">
      <c r="A548" s="25">
        <v>543</v>
      </c>
      <c r="B548" s="23" t="s">
        <v>1416</v>
      </c>
      <c r="C548" s="23" t="s">
        <v>1397</v>
      </c>
      <c r="D548" s="26" t="s">
        <v>1417</v>
      </c>
      <c r="E548" s="23">
        <v>4</v>
      </c>
      <c r="F548" s="23" t="s">
        <v>161</v>
      </c>
      <c r="G548" s="23">
        <f>VLOOKUP(C548,[2]Sheet2!$T$3:$V$92,3,FALSE)</f>
        <v>76</v>
      </c>
      <c r="H548" s="23" t="s">
        <v>68</v>
      </c>
      <c r="I548" s="23" t="s">
        <v>436</v>
      </c>
      <c r="J548" s="23"/>
      <c r="K548" s="6">
        <v>0</v>
      </c>
      <c r="L548" s="23"/>
      <c r="M548" s="43" t="s">
        <v>1418</v>
      </c>
      <c r="N548" s="43"/>
      <c r="O548" s="23" t="e">
        <f t="shared" si="100"/>
        <v>#VALUE!</v>
      </c>
      <c r="P548" s="43"/>
      <c r="Q548" s="43"/>
      <c r="R548" s="44">
        <v>43251</v>
      </c>
      <c r="S548" s="44">
        <v>45125</v>
      </c>
      <c r="T548" s="23">
        <v>50418102</v>
      </c>
      <c r="U548" s="28">
        <v>4440149337057</v>
      </c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 t="s">
        <v>40</v>
      </c>
      <c r="AN548" s="23"/>
      <c r="AO548" s="23" t="s">
        <v>58</v>
      </c>
      <c r="AP548" s="23"/>
      <c r="AQ548" s="23"/>
      <c r="AR548" s="23"/>
      <c r="AS548" s="23" t="str">
        <f t="shared" si="101"/>
        <v>No</v>
      </c>
      <c r="AT548" s="29" t="str">
        <f t="shared" si="97"/>
        <v>Yes</v>
      </c>
      <c r="AU548" s="30"/>
      <c r="AV548" s="31"/>
      <c r="AW548" s="31"/>
      <c r="AX548" s="2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</row>
    <row r="549" spans="1:74" x14ac:dyDescent="0.25">
      <c r="A549" s="25">
        <v>544</v>
      </c>
      <c r="B549" s="23" t="s">
        <v>1419</v>
      </c>
      <c r="C549" s="23" t="s">
        <v>1397</v>
      </c>
      <c r="D549" s="26" t="s">
        <v>1420</v>
      </c>
      <c r="E549" s="23">
        <v>4</v>
      </c>
      <c r="F549" s="23" t="s">
        <v>161</v>
      </c>
      <c r="G549" s="23">
        <f>VLOOKUP(C549,[2]Sheet2!$T$3:$V$92,3,FALSE)</f>
        <v>76</v>
      </c>
      <c r="H549" s="23" t="s">
        <v>68</v>
      </c>
      <c r="I549" s="23" t="s">
        <v>436</v>
      </c>
      <c r="J549" s="23"/>
      <c r="K549" s="6">
        <v>0.6</v>
      </c>
      <c r="L549" s="23" t="s">
        <v>564</v>
      </c>
      <c r="M549" s="43" t="s">
        <v>193</v>
      </c>
      <c r="N549" s="43"/>
      <c r="O549" s="23" t="e">
        <f t="shared" si="100"/>
        <v>#VALUE!</v>
      </c>
      <c r="P549" s="43"/>
      <c r="Q549" s="43"/>
      <c r="R549" s="44">
        <v>41456</v>
      </c>
      <c r="S549" s="44">
        <v>41456</v>
      </c>
      <c r="T549" s="23">
        <v>50188560</v>
      </c>
      <c r="U549" s="28">
        <v>4410303064049</v>
      </c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 t="s">
        <v>39</v>
      </c>
      <c r="AN549" s="23" t="s">
        <v>58</v>
      </c>
      <c r="AO549" s="23"/>
      <c r="AP549" s="23"/>
      <c r="AQ549" s="23"/>
      <c r="AR549" s="23"/>
      <c r="AS549" s="23" t="str">
        <f t="shared" si="101"/>
        <v>Yes</v>
      </c>
      <c r="AT549" s="29" t="str">
        <f t="shared" si="97"/>
        <v>Yes</v>
      </c>
      <c r="AU549" s="30"/>
      <c r="AV549" s="31"/>
      <c r="AW549" s="31"/>
      <c r="AX549" s="2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</row>
    <row r="550" spans="1:74" x14ac:dyDescent="0.25">
      <c r="A550" s="25">
        <v>546</v>
      </c>
      <c r="B550" s="23" t="s">
        <v>1421</v>
      </c>
      <c r="C550" s="23" t="s">
        <v>1397</v>
      </c>
      <c r="D550" s="26" t="s">
        <v>1422</v>
      </c>
      <c r="E550" s="23">
        <v>4</v>
      </c>
      <c r="F550" s="23" t="s">
        <v>71</v>
      </c>
      <c r="G550" s="23">
        <f>VLOOKUP(C550,[2]Sheet2!$T$3:$V$92,3,FALSE)</f>
        <v>76</v>
      </c>
      <c r="H550" s="23" t="s">
        <v>68</v>
      </c>
      <c r="I550" s="23" t="s">
        <v>436</v>
      </c>
      <c r="J550" s="23"/>
      <c r="K550" s="6">
        <v>0</v>
      </c>
      <c r="L550" s="23"/>
      <c r="M550" s="23"/>
      <c r="N550" s="23"/>
      <c r="O550" s="23" t="e">
        <f t="shared" si="100"/>
        <v>#VALUE!</v>
      </c>
      <c r="P550" s="23"/>
      <c r="Q550" s="23"/>
      <c r="R550" s="27"/>
      <c r="S550" s="27"/>
      <c r="T550" s="23">
        <v>50280255</v>
      </c>
      <c r="U550" s="28">
        <v>4410377637197</v>
      </c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 t="s">
        <v>73</v>
      </c>
      <c r="AN550" s="23"/>
      <c r="AO550" s="23"/>
      <c r="AP550" s="23"/>
      <c r="AQ550" s="23"/>
      <c r="AR550" s="23"/>
      <c r="AS550" s="23" t="str">
        <f t="shared" si="101"/>
        <v>No</v>
      </c>
      <c r="AT550" s="29" t="str">
        <f t="shared" si="97"/>
        <v>NA</v>
      </c>
      <c r="AU550" s="30"/>
      <c r="AV550" s="31"/>
      <c r="AW550" s="31"/>
      <c r="AX550" s="2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</row>
    <row r="551" spans="1:74" x14ac:dyDescent="0.25">
      <c r="A551" s="25">
        <v>547</v>
      </c>
      <c r="B551" s="23" t="s">
        <v>1423</v>
      </c>
      <c r="C551" s="23" t="s">
        <v>1424</v>
      </c>
      <c r="D551" s="45" t="s">
        <v>1031</v>
      </c>
      <c r="E551" s="23">
        <v>18</v>
      </c>
      <c r="F551" s="23" t="s">
        <v>440</v>
      </c>
      <c r="G551" s="23">
        <f>VLOOKUP(C551,[2]Sheet2!$T$3:$V$92,3,FALSE)</f>
        <v>77</v>
      </c>
      <c r="H551" s="23" t="s">
        <v>54</v>
      </c>
      <c r="I551" s="23" t="s">
        <v>436</v>
      </c>
      <c r="J551" s="23"/>
      <c r="L551" s="23"/>
      <c r="M551" s="23"/>
      <c r="N551" s="23" t="s">
        <v>56</v>
      </c>
      <c r="O551" s="23" t="e">
        <f ca="1">IF(ISNUMBER(SEARCH("to", N551)),
_xlfn.LET(
    _xlpm.text_n3, N551,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51" s="23"/>
      <c r="Q551" s="23" t="s">
        <v>57</v>
      </c>
      <c r="R551" s="27"/>
      <c r="S551" s="27"/>
      <c r="T551" s="23">
        <v>10450680</v>
      </c>
      <c r="U551" s="28">
        <v>4550411295651</v>
      </c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 t="s">
        <v>42</v>
      </c>
      <c r="AN551" s="23" t="s">
        <v>58</v>
      </c>
      <c r="AO551" s="23" t="s">
        <v>58</v>
      </c>
      <c r="AP551" s="23" t="s">
        <v>58</v>
      </c>
      <c r="AQ551" s="32" t="s">
        <v>58</v>
      </c>
      <c r="AR551" s="23"/>
      <c r="AS551" s="23" t="str">
        <f t="shared" ref="AS551:AS556" si="102">IF(AND(AN551="Yes", AO551="Yes", AP551="Yes"), "Yes", IF(AND(AN551="", AO551="", AP551=""), "No", "Incomplete"))</f>
        <v>Yes</v>
      </c>
      <c r="AT551" s="29" t="str">
        <f t="shared" si="97"/>
        <v>Yes</v>
      </c>
      <c r="AU551" s="30"/>
      <c r="AV551" s="31"/>
      <c r="AW551" s="31" t="s">
        <v>59</v>
      </c>
      <c r="AX551" s="2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</row>
    <row r="552" spans="1:74" x14ac:dyDescent="0.25">
      <c r="A552" s="25">
        <v>548</v>
      </c>
      <c r="B552" s="23" t="s">
        <v>1425</v>
      </c>
      <c r="C552" s="23" t="s">
        <v>1424</v>
      </c>
      <c r="D552" s="45" t="s">
        <v>1426</v>
      </c>
      <c r="E552" s="23">
        <v>17</v>
      </c>
      <c r="F552" s="23" t="s">
        <v>586</v>
      </c>
      <c r="G552" s="23">
        <f>VLOOKUP(C552,[2]Sheet2!$T$3:$V$92,3,FALSE)</f>
        <v>77</v>
      </c>
      <c r="H552" s="23" t="s">
        <v>54</v>
      </c>
      <c r="I552" s="23" t="s">
        <v>436</v>
      </c>
      <c r="J552" s="23"/>
      <c r="L552" s="23"/>
      <c r="M552" s="23"/>
      <c r="N552" s="23" t="s">
        <v>56</v>
      </c>
      <c r="O552" s="23" t="e">
        <f ca="1">IF(ISNUMBER(SEARCH("to", N552)),
_xlfn.LET(
    _xlpm.text_n3, N552,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52" s="23"/>
      <c r="Q552" s="23" t="s">
        <v>57</v>
      </c>
      <c r="R552" s="27"/>
      <c r="S552" s="27"/>
      <c r="T552" s="23">
        <v>10041113</v>
      </c>
      <c r="U552" s="28">
        <v>4130344602895</v>
      </c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 t="s">
        <v>41</v>
      </c>
      <c r="AN552" s="32" t="s">
        <v>58</v>
      </c>
      <c r="AO552" s="32" t="s">
        <v>58</v>
      </c>
      <c r="AP552" s="32" t="s">
        <v>58</v>
      </c>
      <c r="AQ552" s="23"/>
      <c r="AR552" s="23"/>
      <c r="AS552" s="23" t="str">
        <f t="shared" si="102"/>
        <v>Yes</v>
      </c>
      <c r="AT552" s="29" t="str">
        <f t="shared" si="97"/>
        <v>Yes</v>
      </c>
      <c r="AU552" s="30"/>
      <c r="AV552" s="31"/>
      <c r="AW552" s="31" t="s">
        <v>59</v>
      </c>
      <c r="AX552" s="2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</row>
    <row r="553" spans="1:74" ht="28.5" x14ac:dyDescent="0.25">
      <c r="A553" s="25">
        <v>549</v>
      </c>
      <c r="B553" s="23" t="s">
        <v>1427</v>
      </c>
      <c r="C553" s="23" t="s">
        <v>1424</v>
      </c>
      <c r="D553" s="26" t="s">
        <v>1428</v>
      </c>
      <c r="E553" s="23">
        <v>16</v>
      </c>
      <c r="F553" s="23" t="s">
        <v>67</v>
      </c>
      <c r="G553" s="23">
        <f>VLOOKUP(C553,[2]Sheet2!$T$3:$V$92,3,FALSE)</f>
        <v>77</v>
      </c>
      <c r="H553" s="23" t="s">
        <v>68</v>
      </c>
      <c r="I553" s="23" t="s">
        <v>436</v>
      </c>
      <c r="J553" s="23"/>
      <c r="K553" s="6">
        <v>0.75</v>
      </c>
      <c r="L553" s="23" t="s">
        <v>376</v>
      </c>
      <c r="M553" s="23"/>
      <c r="N553" s="23"/>
      <c r="O553" s="23" t="e">
        <f t="shared" ref="O553:O564" si="103">IF(DATEVALUE(MID(N553,15,10))-DATEVALUE(LEFT(N553,10))+1&gt;=365,"1 Year",
DATEDIF(DATEVALUE(LEFT(N553,10)),DATEVALUE(MID(N553,15,10)),"Y")&amp;" Years, "&amp;DATEDIF(DATEVALUE(LEFT(N553,10)),DATEVALUE(MID(N553,15,10)),"YM")&amp;" Months, "&amp;DATEDIF(DATEVALUE(LEFT(N553,10)),DATEVALUE(MID(N553,15,10)),"MD")&amp;" Days")</f>
        <v>#VALUE!</v>
      </c>
      <c r="P553" s="23"/>
      <c r="Q553" s="23"/>
      <c r="R553" s="27"/>
      <c r="S553" s="27"/>
      <c r="T553" s="23">
        <v>50684079</v>
      </c>
      <c r="U553" s="28">
        <v>4430203582559</v>
      </c>
      <c r="V553" s="23"/>
      <c r="W553" s="23" t="s">
        <v>212</v>
      </c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 t="s">
        <v>42</v>
      </c>
      <c r="AN553" s="32" t="s">
        <v>58</v>
      </c>
      <c r="AO553" s="39" t="s">
        <v>58</v>
      </c>
      <c r="AP553" s="23" t="s">
        <v>1429</v>
      </c>
      <c r="AQ553" s="32" t="s">
        <v>58</v>
      </c>
      <c r="AR553" s="23"/>
      <c r="AS553" s="23" t="str">
        <f t="shared" si="102"/>
        <v>Incomplete</v>
      </c>
      <c r="AT553" s="29" t="str">
        <f t="shared" si="97"/>
        <v>Yes</v>
      </c>
      <c r="AU553" s="30"/>
      <c r="AV553" s="31"/>
      <c r="AW553" s="31"/>
      <c r="AX553" s="2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</row>
    <row r="554" spans="1:74" x14ac:dyDescent="0.25">
      <c r="A554" s="25">
        <v>550</v>
      </c>
      <c r="B554" s="23" t="s">
        <v>1430</v>
      </c>
      <c r="C554" s="23" t="s">
        <v>1424</v>
      </c>
      <c r="D554" s="41" t="s">
        <v>1431</v>
      </c>
      <c r="E554" s="23">
        <v>14</v>
      </c>
      <c r="F554" s="23" t="s">
        <v>108</v>
      </c>
      <c r="G554" s="23">
        <f>VLOOKUP(C554,[2]Sheet2!$T$3:$V$92,3,FALSE)</f>
        <v>77</v>
      </c>
      <c r="H554" s="23" t="s">
        <v>68</v>
      </c>
      <c r="I554" s="23" t="s">
        <v>436</v>
      </c>
      <c r="J554" s="23"/>
      <c r="K554" s="6">
        <v>0</v>
      </c>
      <c r="L554" s="23"/>
      <c r="M554" s="23"/>
      <c r="N554" s="23"/>
      <c r="O554" s="23" t="e">
        <f t="shared" si="103"/>
        <v>#VALUE!</v>
      </c>
      <c r="P554" s="23"/>
      <c r="Q554" s="23"/>
      <c r="R554" s="27">
        <v>45958</v>
      </c>
      <c r="S554" s="27">
        <v>45958</v>
      </c>
      <c r="T554" s="23"/>
      <c r="U554" s="28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 t="s">
        <v>42</v>
      </c>
      <c r="AN554" s="23"/>
      <c r="AO554" s="23"/>
      <c r="AP554" s="23"/>
      <c r="AQ554" s="23"/>
      <c r="AR554" s="23"/>
      <c r="AS554" s="23" t="str">
        <f t="shared" si="102"/>
        <v>No</v>
      </c>
      <c r="AT554" s="29" t="str">
        <f t="shared" si="97"/>
        <v>No</v>
      </c>
      <c r="AU554" s="30"/>
      <c r="AV554" s="31"/>
      <c r="AW554" s="31"/>
      <c r="AX554" s="2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</row>
    <row r="555" spans="1:74" ht="28.5" x14ac:dyDescent="0.25">
      <c r="A555" s="25">
        <v>551</v>
      </c>
      <c r="B555" s="23" t="s">
        <v>1432</v>
      </c>
      <c r="C555" s="23" t="s">
        <v>1424</v>
      </c>
      <c r="D555" s="26" t="s">
        <v>1433</v>
      </c>
      <c r="E555" s="23">
        <v>14</v>
      </c>
      <c r="F555" s="23" t="s">
        <v>108</v>
      </c>
      <c r="G555" s="23">
        <f>VLOOKUP(C555,[2]Sheet2!$T$3:$V$92,3,FALSE)</f>
        <v>77</v>
      </c>
      <c r="H555" s="23" t="s">
        <v>68</v>
      </c>
      <c r="I555" s="23" t="s">
        <v>436</v>
      </c>
      <c r="J555" s="23"/>
      <c r="K555" s="6">
        <v>0.9</v>
      </c>
      <c r="L555" s="23" t="s">
        <v>574</v>
      </c>
      <c r="M555" s="23"/>
      <c r="N555" s="23" t="s">
        <v>95</v>
      </c>
      <c r="O555" s="23" t="str">
        <f t="shared" si="103"/>
        <v>1 Year</v>
      </c>
      <c r="P555" s="23" t="s">
        <v>1010</v>
      </c>
      <c r="Q555" s="23" t="s">
        <v>646</v>
      </c>
      <c r="R555" s="27"/>
      <c r="S555" s="27"/>
      <c r="T555" s="23">
        <v>50732394</v>
      </c>
      <c r="U555" s="28">
        <v>4320347058963</v>
      </c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 t="s">
        <v>41</v>
      </c>
      <c r="AN555" s="32" t="s">
        <v>58</v>
      </c>
      <c r="AO555" s="32" t="s">
        <v>58</v>
      </c>
      <c r="AP555" s="32" t="s">
        <v>58</v>
      </c>
      <c r="AQ555" s="23"/>
      <c r="AR555" s="23" t="s">
        <v>1266</v>
      </c>
      <c r="AS555" s="23" t="str">
        <f t="shared" si="102"/>
        <v>Yes</v>
      </c>
      <c r="AT555" s="29" t="str">
        <f t="shared" si="97"/>
        <v>Yes</v>
      </c>
      <c r="AU555" s="30"/>
      <c r="AV555" s="31"/>
      <c r="AW555" s="31"/>
      <c r="AX555" s="2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</row>
    <row r="556" spans="1:74" ht="28.5" x14ac:dyDescent="0.25">
      <c r="A556" s="25">
        <v>552</v>
      </c>
      <c r="B556" s="23" t="s">
        <v>1434</v>
      </c>
      <c r="C556" s="23" t="s">
        <v>1424</v>
      </c>
      <c r="D556" s="26" t="s">
        <v>1435</v>
      </c>
      <c r="E556" s="23">
        <v>14</v>
      </c>
      <c r="F556" s="23" t="s">
        <v>108</v>
      </c>
      <c r="G556" s="23">
        <f>VLOOKUP(C556,[2]Sheet2!$T$3:$V$92,3,FALSE)</f>
        <v>77</v>
      </c>
      <c r="H556" s="23" t="s">
        <v>68</v>
      </c>
      <c r="I556" s="23" t="s">
        <v>436</v>
      </c>
      <c r="J556" s="23"/>
      <c r="K556" s="6">
        <v>0.6</v>
      </c>
      <c r="L556" s="23" t="s">
        <v>564</v>
      </c>
      <c r="M556" s="23"/>
      <c r="N556" s="23" t="s">
        <v>95</v>
      </c>
      <c r="O556" s="23" t="str">
        <f t="shared" si="103"/>
        <v>1 Year</v>
      </c>
      <c r="P556" s="23" t="s">
        <v>677</v>
      </c>
      <c r="Q556" s="23"/>
      <c r="R556" s="27"/>
      <c r="S556" s="27"/>
      <c r="T556" s="23">
        <v>50744700</v>
      </c>
      <c r="U556" s="28">
        <v>4320384162661</v>
      </c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 t="s">
        <v>41</v>
      </c>
      <c r="AN556" s="32" t="s">
        <v>58</v>
      </c>
      <c r="AO556" s="32" t="s">
        <v>58</v>
      </c>
      <c r="AP556" s="32" t="s">
        <v>58</v>
      </c>
      <c r="AQ556" s="23"/>
      <c r="AR556" s="23" t="s">
        <v>1436</v>
      </c>
      <c r="AS556" s="23" t="str">
        <f t="shared" si="102"/>
        <v>Yes</v>
      </c>
      <c r="AT556" s="29" t="str">
        <f t="shared" si="97"/>
        <v>Yes</v>
      </c>
      <c r="AU556" s="30"/>
      <c r="AV556" s="31"/>
      <c r="AW556" s="31"/>
      <c r="AX556" s="2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</row>
    <row r="557" spans="1:74" x14ac:dyDescent="0.25">
      <c r="A557" s="25">
        <v>553</v>
      </c>
      <c r="B557" s="23" t="s">
        <v>1437</v>
      </c>
      <c r="C557" s="23" t="s">
        <v>1424</v>
      </c>
      <c r="D557" s="26" t="s">
        <v>1438</v>
      </c>
      <c r="E557" s="23">
        <v>13</v>
      </c>
      <c r="F557" s="23" t="s">
        <v>131</v>
      </c>
      <c r="G557" s="23">
        <f>VLOOKUP(C557,[2]Sheet2!$T$3:$V$92,3,FALSE)</f>
        <v>77</v>
      </c>
      <c r="H557" s="23" t="s">
        <v>68</v>
      </c>
      <c r="I557" s="23" t="s">
        <v>436</v>
      </c>
      <c r="J557" s="23"/>
      <c r="K557" s="6">
        <v>0</v>
      </c>
      <c r="L557" s="23"/>
      <c r="M557" s="23"/>
      <c r="N557" s="23"/>
      <c r="O557" s="23" t="e">
        <f t="shared" si="103"/>
        <v>#VALUE!</v>
      </c>
      <c r="P557" s="23"/>
      <c r="Q557" s="23"/>
      <c r="R557" s="27"/>
      <c r="S557" s="27"/>
      <c r="T557" s="23">
        <v>10112815</v>
      </c>
      <c r="U557" s="28">
        <v>4210142484763</v>
      </c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 t="s">
        <v>41</v>
      </c>
      <c r="AN557" s="23" t="s">
        <v>189</v>
      </c>
      <c r="AO557" s="32" t="s">
        <v>58</v>
      </c>
      <c r="AP557" s="23" t="s">
        <v>58</v>
      </c>
      <c r="AQ557" s="23"/>
      <c r="AR557" s="23"/>
      <c r="AS557" s="23" t="str">
        <f>IF(AND(AN557="Yes", AO557="Yes"), "Yes", IF(AND(AN557="", AO557=""), "No", "Incomplete"))</f>
        <v>Incomplete</v>
      </c>
      <c r="AT557" s="29" t="str">
        <f t="shared" si="97"/>
        <v>Yes</v>
      </c>
      <c r="AU557" s="30"/>
      <c r="AV557" s="31"/>
      <c r="AW557" s="31"/>
      <c r="AX557" s="2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</row>
    <row r="558" spans="1:74" x14ac:dyDescent="0.25">
      <c r="A558" s="25">
        <v>554</v>
      </c>
      <c r="B558" s="23" t="s">
        <v>1439</v>
      </c>
      <c r="C558" s="23" t="s">
        <v>1424</v>
      </c>
      <c r="D558" s="26" t="s">
        <v>1440</v>
      </c>
      <c r="E558" s="23">
        <v>11</v>
      </c>
      <c r="F558" s="23" t="s">
        <v>138</v>
      </c>
      <c r="G558" s="23">
        <f>VLOOKUP(C558,[2]Sheet2!$T$3:$V$92,3,FALSE)</f>
        <v>77</v>
      </c>
      <c r="H558" s="23" t="s">
        <v>68</v>
      </c>
      <c r="I558" s="23" t="s">
        <v>436</v>
      </c>
      <c r="J558" s="23"/>
      <c r="K558" s="6">
        <v>0.6</v>
      </c>
      <c r="L558" s="23" t="s">
        <v>564</v>
      </c>
      <c r="M558" s="23"/>
      <c r="N558" s="23"/>
      <c r="O558" s="23" t="e">
        <f t="shared" si="103"/>
        <v>#VALUE!</v>
      </c>
      <c r="P558" s="23"/>
      <c r="Q558" s="23"/>
      <c r="R558" s="27"/>
      <c r="S558" s="27"/>
      <c r="T558" s="23">
        <v>10432801</v>
      </c>
      <c r="U558" s="28">
        <v>4430119921775</v>
      </c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 t="s">
        <v>39</v>
      </c>
      <c r="AN558" s="32" t="s">
        <v>58</v>
      </c>
      <c r="AO558" s="23"/>
      <c r="AP558" s="23"/>
      <c r="AQ558" s="23"/>
      <c r="AR558" s="23"/>
      <c r="AS558" s="23" t="str">
        <f t="shared" ref="AS558:AS564" si="104">IF(AND(AN558="Yes"), "Yes", IF(AND(AN558=""), "No", "Incomplete"))</f>
        <v>Yes</v>
      </c>
      <c r="AT558" s="29" t="str">
        <f t="shared" si="97"/>
        <v>Yes</v>
      </c>
      <c r="AU558" s="30"/>
      <c r="AV558" s="31"/>
      <c r="AW558" s="31"/>
      <c r="AX558" s="2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</row>
    <row r="559" spans="1:74" x14ac:dyDescent="0.25">
      <c r="A559" s="25">
        <v>555</v>
      </c>
      <c r="B559" s="23" t="s">
        <v>1441</v>
      </c>
      <c r="C559" s="23" t="s">
        <v>1424</v>
      </c>
      <c r="D559" s="26" t="s">
        <v>1442</v>
      </c>
      <c r="E559" s="23">
        <v>11</v>
      </c>
      <c r="F559" s="23" t="s">
        <v>138</v>
      </c>
      <c r="G559" s="23">
        <f>VLOOKUP(C559,[2]Sheet2!$T$3:$V$92,3,FALSE)</f>
        <v>77</v>
      </c>
      <c r="H559" s="23" t="s">
        <v>68</v>
      </c>
      <c r="I559" s="23" t="s">
        <v>436</v>
      </c>
      <c r="J559" s="23"/>
      <c r="K559" s="6">
        <v>0</v>
      </c>
      <c r="L559" s="23"/>
      <c r="M559" s="23"/>
      <c r="N559" s="23"/>
      <c r="O559" s="23" t="e">
        <f t="shared" si="103"/>
        <v>#VALUE!</v>
      </c>
      <c r="P559" s="23"/>
      <c r="Q559" s="23"/>
      <c r="R559" s="27"/>
      <c r="S559" s="27"/>
      <c r="T559" s="23">
        <v>50744704</v>
      </c>
      <c r="U559" s="28">
        <v>4510290040003</v>
      </c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 t="s">
        <v>40</v>
      </c>
      <c r="AN559" s="32" t="s">
        <v>58</v>
      </c>
      <c r="AO559" s="23" t="s">
        <v>58</v>
      </c>
      <c r="AP559" s="23"/>
      <c r="AQ559" s="23"/>
      <c r="AR559" s="23"/>
      <c r="AS559" s="23" t="str">
        <f t="shared" si="104"/>
        <v>Yes</v>
      </c>
      <c r="AT559" s="29" t="str">
        <f t="shared" si="97"/>
        <v>Yes</v>
      </c>
      <c r="AU559" s="30"/>
      <c r="AV559" s="31"/>
      <c r="AW559" s="31"/>
      <c r="AX559" s="2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</row>
    <row r="560" spans="1:74" x14ac:dyDescent="0.25">
      <c r="A560" s="25">
        <v>556</v>
      </c>
      <c r="B560" s="23" t="s">
        <v>1443</v>
      </c>
      <c r="C560" s="23" t="s">
        <v>1424</v>
      </c>
      <c r="D560" s="26" t="s">
        <v>1444</v>
      </c>
      <c r="E560" s="23">
        <v>7</v>
      </c>
      <c r="F560" s="23" t="s">
        <v>264</v>
      </c>
      <c r="G560" s="23">
        <f>VLOOKUP(C560,[2]Sheet2!$T$3:$V$92,3,FALSE)</f>
        <v>77</v>
      </c>
      <c r="H560" s="23" t="s">
        <v>68</v>
      </c>
      <c r="I560" s="23" t="s">
        <v>436</v>
      </c>
      <c r="J560" s="23"/>
      <c r="K560" s="6">
        <v>0</v>
      </c>
      <c r="L560" s="23"/>
      <c r="M560" s="23"/>
      <c r="N560" s="23"/>
      <c r="O560" s="23" t="e">
        <f t="shared" si="103"/>
        <v>#VALUE!</v>
      </c>
      <c r="P560" s="23"/>
      <c r="Q560" s="23"/>
      <c r="R560" s="27"/>
      <c r="S560" s="27"/>
      <c r="T560" s="23">
        <v>10432890</v>
      </c>
      <c r="U560" s="28">
        <v>4430359758839</v>
      </c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 t="s">
        <v>73</v>
      </c>
      <c r="AN560" s="23"/>
      <c r="AO560" s="23"/>
      <c r="AP560" s="23"/>
      <c r="AQ560" s="23"/>
      <c r="AR560" s="23"/>
      <c r="AS560" s="23" t="str">
        <f t="shared" si="104"/>
        <v>No</v>
      </c>
      <c r="AT560" s="29" t="str">
        <f t="shared" si="97"/>
        <v>NA</v>
      </c>
      <c r="AU560" s="30"/>
      <c r="AV560" s="31"/>
      <c r="AW560" s="31"/>
      <c r="AX560" s="2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</row>
    <row r="561" spans="1:74" x14ac:dyDescent="0.25">
      <c r="A561" s="25">
        <v>557</v>
      </c>
      <c r="B561" s="23" t="s">
        <v>1445</v>
      </c>
      <c r="C561" s="23" t="s">
        <v>1424</v>
      </c>
      <c r="D561" s="26" t="s">
        <v>1446</v>
      </c>
      <c r="E561" s="23">
        <v>5</v>
      </c>
      <c r="F561" s="23" t="s">
        <v>161</v>
      </c>
      <c r="G561" s="23">
        <f>VLOOKUP(C561,[2]Sheet2!$T$3:$V$92,3,FALSE)</f>
        <v>77</v>
      </c>
      <c r="H561" s="23" t="s">
        <v>68</v>
      </c>
      <c r="I561" s="23" t="s">
        <v>436</v>
      </c>
      <c r="J561" s="23"/>
      <c r="K561" s="6">
        <v>0</v>
      </c>
      <c r="L561" s="23"/>
      <c r="M561" s="63" t="s">
        <v>1447</v>
      </c>
      <c r="N561" s="63"/>
      <c r="O561" s="23" t="e">
        <f t="shared" si="103"/>
        <v>#VALUE!</v>
      </c>
      <c r="P561" s="63"/>
      <c r="Q561" s="63"/>
      <c r="R561" s="64">
        <v>34080</v>
      </c>
      <c r="S561" s="64">
        <v>34080</v>
      </c>
      <c r="T561" s="23">
        <v>10432803</v>
      </c>
      <c r="U561" s="28">
        <v>4410792717729</v>
      </c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 t="s">
        <v>73</v>
      </c>
      <c r="AN561" s="23"/>
      <c r="AO561" s="23"/>
      <c r="AP561" s="23"/>
      <c r="AQ561" s="23"/>
      <c r="AR561" s="23"/>
      <c r="AS561" s="23" t="str">
        <f t="shared" si="104"/>
        <v>No</v>
      </c>
      <c r="AT561" s="29" t="str">
        <f t="shared" si="97"/>
        <v>NA</v>
      </c>
      <c r="AU561" s="30"/>
      <c r="AV561" s="31"/>
      <c r="AW561" s="31"/>
      <c r="AX561" s="2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</row>
    <row r="562" spans="1:74" x14ac:dyDescent="0.25">
      <c r="A562" s="25">
        <v>558</v>
      </c>
      <c r="B562" s="23" t="s">
        <v>1448</v>
      </c>
      <c r="C562" s="23" t="s">
        <v>1424</v>
      </c>
      <c r="D562" s="26" t="s">
        <v>1449</v>
      </c>
      <c r="E562" s="23">
        <v>5</v>
      </c>
      <c r="F562" s="23" t="s">
        <v>71</v>
      </c>
      <c r="G562" s="23">
        <f>VLOOKUP(C562,[2]Sheet2!$T$3:$V$92,3,FALSE)</f>
        <v>77</v>
      </c>
      <c r="H562" s="23" t="s">
        <v>68</v>
      </c>
      <c r="I562" s="23" t="s">
        <v>436</v>
      </c>
      <c r="J562" s="23"/>
      <c r="K562" s="6">
        <v>0.75</v>
      </c>
      <c r="L562" s="23" t="s">
        <v>376</v>
      </c>
      <c r="M562" s="23"/>
      <c r="N562" s="23"/>
      <c r="O562" s="23" t="e">
        <f t="shared" si="103"/>
        <v>#VALUE!</v>
      </c>
      <c r="P562" s="23"/>
      <c r="Q562" s="23"/>
      <c r="R562" s="27"/>
      <c r="S562" s="27"/>
      <c r="T562" s="23">
        <v>10112123</v>
      </c>
      <c r="U562" s="28">
        <v>4230148893425</v>
      </c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 t="s">
        <v>73</v>
      </c>
      <c r="AN562" s="23"/>
      <c r="AO562" s="23"/>
      <c r="AP562" s="23"/>
      <c r="AQ562" s="23"/>
      <c r="AR562" s="23"/>
      <c r="AS562" s="23" t="str">
        <f t="shared" si="104"/>
        <v>No</v>
      </c>
      <c r="AT562" s="29" t="str">
        <f t="shared" si="97"/>
        <v>NA</v>
      </c>
      <c r="AU562" s="30"/>
      <c r="AV562" s="31"/>
      <c r="AW562" s="31"/>
      <c r="AX562" s="2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</row>
    <row r="563" spans="1:74" x14ac:dyDescent="0.25">
      <c r="A563" s="25">
        <v>560</v>
      </c>
      <c r="B563" s="23" t="s">
        <v>1450</v>
      </c>
      <c r="C563" s="23" t="s">
        <v>1424</v>
      </c>
      <c r="D563" s="26" t="s">
        <v>1420</v>
      </c>
      <c r="E563" s="23">
        <v>4</v>
      </c>
      <c r="F563" s="23" t="s">
        <v>161</v>
      </c>
      <c r="G563" s="23">
        <f>VLOOKUP(C563,[2]Sheet2!$T$3:$V$92,3,FALSE)</f>
        <v>77</v>
      </c>
      <c r="H563" s="23" t="s">
        <v>68</v>
      </c>
      <c r="I563" s="23" t="s">
        <v>436</v>
      </c>
      <c r="J563" s="23"/>
      <c r="K563" s="6">
        <v>0</v>
      </c>
      <c r="L563" s="23"/>
      <c r="M563" s="63" t="s">
        <v>1447</v>
      </c>
      <c r="N563" s="63"/>
      <c r="O563" s="23" t="e">
        <f t="shared" si="103"/>
        <v>#VALUE!</v>
      </c>
      <c r="P563" s="63"/>
      <c r="Q563" s="63"/>
      <c r="R563" s="64">
        <v>41467</v>
      </c>
      <c r="S563" s="64">
        <v>41467</v>
      </c>
      <c r="T563" s="23"/>
      <c r="U563" s="28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 t="s">
        <v>73</v>
      </c>
      <c r="AN563" s="23"/>
      <c r="AO563" s="23"/>
      <c r="AP563" s="23"/>
      <c r="AQ563" s="23"/>
      <c r="AR563" s="23"/>
      <c r="AS563" s="23" t="str">
        <f t="shared" si="104"/>
        <v>No</v>
      </c>
      <c r="AT563" s="29" t="str">
        <f t="shared" si="97"/>
        <v>NA</v>
      </c>
      <c r="AU563" s="30"/>
      <c r="AV563" s="31"/>
      <c r="AW563" s="31"/>
      <c r="AX563" s="2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</row>
    <row r="564" spans="1:74" x14ac:dyDescent="0.25">
      <c r="A564" s="25">
        <v>561</v>
      </c>
      <c r="B564" s="23" t="s">
        <v>1451</v>
      </c>
      <c r="C564" s="23" t="s">
        <v>1424</v>
      </c>
      <c r="D564" s="26" t="s">
        <v>66</v>
      </c>
      <c r="E564" s="23">
        <v>2</v>
      </c>
      <c r="F564" s="23" t="s">
        <v>71</v>
      </c>
      <c r="G564" s="23">
        <f>VLOOKUP(C564,[2]Sheet2!$T$3:$V$92,3,FALSE)</f>
        <v>77</v>
      </c>
      <c r="H564" s="23" t="s">
        <v>68</v>
      </c>
      <c r="I564" s="23" t="s">
        <v>436</v>
      </c>
      <c r="J564" s="23"/>
      <c r="L564" s="23"/>
      <c r="M564" s="23"/>
      <c r="N564" s="23"/>
      <c r="O564" s="23" t="e">
        <f t="shared" si="103"/>
        <v>#VALUE!</v>
      </c>
      <c r="P564" s="23"/>
      <c r="Q564" s="23"/>
      <c r="R564" s="27"/>
      <c r="S564" s="27"/>
      <c r="T564" s="23"/>
      <c r="U564" s="28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 t="s">
        <v>66</v>
      </c>
      <c r="AN564" s="23"/>
      <c r="AO564" s="70"/>
      <c r="AP564" s="23"/>
      <c r="AQ564" s="23"/>
      <c r="AR564" s="23"/>
      <c r="AS564" s="23" t="str">
        <f t="shared" si="104"/>
        <v>No</v>
      </c>
      <c r="AT564" s="29" t="str">
        <f t="shared" si="97"/>
        <v>Vacant</v>
      </c>
      <c r="AU564" s="30"/>
      <c r="AV564" s="31"/>
      <c r="AW564" s="31"/>
      <c r="AX564" s="2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</row>
    <row r="565" spans="1:74" x14ac:dyDescent="0.25">
      <c r="A565" s="25">
        <v>562</v>
      </c>
      <c r="B565" s="23" t="s">
        <v>1452</v>
      </c>
      <c r="C565" s="23" t="s">
        <v>1453</v>
      </c>
      <c r="D565" s="45" t="s">
        <v>1454</v>
      </c>
      <c r="E565" s="23">
        <v>18</v>
      </c>
      <c r="F565" s="23" t="s">
        <v>440</v>
      </c>
      <c r="G565" s="23">
        <f>VLOOKUP(C565,[2]Sheet2!$T$3:$V$92,3,FALSE)</f>
        <v>78</v>
      </c>
      <c r="H565" s="23" t="s">
        <v>54</v>
      </c>
      <c r="I565" s="23" t="s">
        <v>436</v>
      </c>
      <c r="J565" s="23"/>
      <c r="L565" s="23"/>
      <c r="M565" s="23"/>
      <c r="N565" s="23" t="s">
        <v>56</v>
      </c>
      <c r="O565" s="23" t="e">
        <f ca="1">IF(ISNUMBER(SEARCH("to", N565)),
_xlfn.LET(
    _xlpm.text_n3, N565,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65" s="23"/>
      <c r="Q565" s="23" t="s">
        <v>57</v>
      </c>
      <c r="R565" s="27"/>
      <c r="S565" s="27"/>
      <c r="T565" s="23">
        <v>88289</v>
      </c>
      <c r="U565" s="28">
        <v>1730178285743</v>
      </c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 t="s">
        <v>41</v>
      </c>
      <c r="AN565" s="23"/>
      <c r="AO565" s="23"/>
      <c r="AP565" s="23" t="s">
        <v>58</v>
      </c>
      <c r="AQ565" s="23"/>
      <c r="AR565" s="23"/>
      <c r="AS565" s="23" t="str">
        <f>IF(AND(AN565="Yes", AO565="Yes", AP565="Yes"), "Yes", IF(AND(AN565="", AO565="", AP565=""), "No", "Incomplete"))</f>
        <v>Incomplete</v>
      </c>
      <c r="AT565" s="29" t="str">
        <f t="shared" si="97"/>
        <v>Yes</v>
      </c>
      <c r="AU565" s="30"/>
      <c r="AV565" s="31"/>
      <c r="AW565" s="31" t="s">
        <v>59</v>
      </c>
      <c r="AX565" s="2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</row>
    <row r="566" spans="1:74" x14ac:dyDescent="0.25">
      <c r="A566" s="25">
        <v>563</v>
      </c>
      <c r="B566" s="23" t="s">
        <v>1455</v>
      </c>
      <c r="C566" s="23" t="s">
        <v>1453</v>
      </c>
      <c r="D566" s="26" t="s">
        <v>1456</v>
      </c>
      <c r="E566" s="23">
        <v>17</v>
      </c>
      <c r="F566" s="23" t="s">
        <v>586</v>
      </c>
      <c r="G566" s="23">
        <f>VLOOKUP(C566,[2]Sheet2!$T$3:$V$92,3,FALSE)</f>
        <v>78</v>
      </c>
      <c r="H566" s="23" t="s">
        <v>54</v>
      </c>
      <c r="I566" s="23" t="s">
        <v>436</v>
      </c>
      <c r="J566" s="23"/>
      <c r="L566" s="23"/>
      <c r="M566" s="23"/>
      <c r="N566" s="23" t="s">
        <v>56</v>
      </c>
      <c r="O566" s="23" t="e">
        <f ca="1">IF(ISNUMBER(SEARCH("to", N566)),
_xlfn.LET(
    _xlpm.text_n3, N566,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66" s="23"/>
      <c r="Q566" s="23" t="s">
        <v>57</v>
      </c>
      <c r="R566" s="27"/>
      <c r="S566" s="27"/>
      <c r="T566" s="23">
        <v>10356333</v>
      </c>
      <c r="U566" s="28">
        <v>4130731638025</v>
      </c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 t="s">
        <v>41</v>
      </c>
      <c r="AN566" s="23"/>
      <c r="AO566" s="23"/>
      <c r="AP566" s="32" t="s">
        <v>58</v>
      </c>
      <c r="AQ566" s="23"/>
      <c r="AR566" s="23"/>
      <c r="AS566" s="23" t="str">
        <f>IF(AND(AN566="Yes", AO566="Yes", AP566="Yes"), "Yes", IF(AND(AN566="", AO566="", AP566=""), "No", "Incomplete"))</f>
        <v>Incomplete</v>
      </c>
      <c r="AT566" s="29" t="str">
        <f t="shared" si="97"/>
        <v>Yes</v>
      </c>
      <c r="AU566" s="30"/>
      <c r="AV566" s="31"/>
      <c r="AW566" s="31" t="s">
        <v>59</v>
      </c>
      <c r="AX566" s="2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</row>
    <row r="567" spans="1:74" x14ac:dyDescent="0.25">
      <c r="A567" s="25">
        <v>564</v>
      </c>
      <c r="B567" s="23" t="s">
        <v>1457</v>
      </c>
      <c r="C567" s="23" t="s">
        <v>1453</v>
      </c>
      <c r="D567" s="26" t="s">
        <v>1458</v>
      </c>
      <c r="E567" s="23">
        <v>16</v>
      </c>
      <c r="F567" s="23" t="s">
        <v>67</v>
      </c>
      <c r="G567" s="23">
        <f>VLOOKUP(C567,[2]Sheet2!$T$3:$V$92,3,FALSE)</f>
        <v>78</v>
      </c>
      <c r="H567" s="23" t="s">
        <v>68</v>
      </c>
      <c r="I567" s="23" t="s">
        <v>436</v>
      </c>
      <c r="J567" s="23"/>
      <c r="K567" s="6">
        <v>0</v>
      </c>
      <c r="L567" s="23"/>
      <c r="M567" s="23"/>
      <c r="N567" s="23"/>
      <c r="O567" s="23" t="e">
        <f t="shared" ref="O567:O577" si="105">IF(DATEVALUE(MID(N567,15,10))-DATEVALUE(LEFT(N567,10))+1&gt;=365,"1 Year",
DATEDIF(DATEVALUE(LEFT(N567,10)),DATEVALUE(MID(N567,15,10)),"Y")&amp;" Years, "&amp;DATEDIF(DATEVALUE(LEFT(N567,10)),DATEVALUE(MID(N567,15,10)),"YM")&amp;" Months, "&amp;DATEDIF(DATEVALUE(LEFT(N567,10)),DATEVALUE(MID(N567,15,10)),"MD")&amp;" Days")</f>
        <v>#VALUE!</v>
      </c>
      <c r="P567" s="23"/>
      <c r="Q567" s="23"/>
      <c r="R567" s="27"/>
      <c r="S567" s="27"/>
      <c r="T567" s="23">
        <v>50170307</v>
      </c>
      <c r="U567" s="28">
        <v>4410782386037</v>
      </c>
      <c r="V567" s="23"/>
      <c r="W567" s="23" t="s">
        <v>212</v>
      </c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 t="s">
        <v>42</v>
      </c>
      <c r="AN567" s="23" t="s">
        <v>58</v>
      </c>
      <c r="AO567" s="23" t="s">
        <v>58</v>
      </c>
      <c r="AP567" s="32" t="s">
        <v>58</v>
      </c>
      <c r="AQ567" s="32" t="s">
        <v>58</v>
      </c>
      <c r="AR567" s="23"/>
      <c r="AS567" s="23" t="str">
        <f>IF(AND(AN567="Yes", AO567="Yes", AP567="Yes"), "Yes", IF(AND(AN567="", AO567="", AP567=""), "No", "Incomplete"))</f>
        <v>Yes</v>
      </c>
      <c r="AT567" s="29" t="str">
        <f t="shared" si="97"/>
        <v>Yes</v>
      </c>
      <c r="AU567" s="30"/>
      <c r="AV567" s="31"/>
      <c r="AW567" s="31" t="s">
        <v>59</v>
      </c>
      <c r="AX567" s="2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</row>
    <row r="568" spans="1:74" x14ac:dyDescent="0.25">
      <c r="A568" s="25">
        <v>565</v>
      </c>
      <c r="B568" s="23" t="s">
        <v>1459</v>
      </c>
      <c r="C568" s="23" t="s">
        <v>1453</v>
      </c>
      <c r="D568" s="26" t="s">
        <v>1460</v>
      </c>
      <c r="E568" s="23">
        <v>15</v>
      </c>
      <c r="F568" s="23" t="s">
        <v>108</v>
      </c>
      <c r="G568" s="23">
        <f>VLOOKUP(C568,[2]Sheet2!$T$3:$V$92,3,FALSE)</f>
        <v>78</v>
      </c>
      <c r="H568" s="23" t="s">
        <v>68</v>
      </c>
      <c r="I568" s="23" t="s">
        <v>436</v>
      </c>
      <c r="J568" s="23"/>
      <c r="K568" s="6">
        <v>0.8</v>
      </c>
      <c r="L568" s="23" t="s">
        <v>427</v>
      </c>
      <c r="M568" s="23"/>
      <c r="N568" s="23"/>
      <c r="O568" s="23" t="e">
        <f t="shared" si="105"/>
        <v>#VALUE!</v>
      </c>
      <c r="P568" s="23"/>
      <c r="Q568" s="23"/>
      <c r="R568" s="27"/>
      <c r="S568" s="27"/>
      <c r="T568" s="23">
        <v>50699271</v>
      </c>
      <c r="U568" s="28">
        <v>4130727621083</v>
      </c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 t="s">
        <v>41</v>
      </c>
      <c r="AN568" s="23" t="s">
        <v>58</v>
      </c>
      <c r="AO568" s="23" t="s">
        <v>58</v>
      </c>
      <c r="AP568" s="32" t="s">
        <v>58</v>
      </c>
      <c r="AQ568" s="23"/>
      <c r="AR568" s="23"/>
      <c r="AS568" s="23" t="str">
        <f>IF(AND(AN568="Yes", AO568="Yes", AP568="Yes"), "Yes", IF(AND(AN568="", AO568="", AP568=""), "No", "Incomplete"))</f>
        <v>Yes</v>
      </c>
      <c r="AT568" s="29" t="str">
        <f t="shared" si="97"/>
        <v>Yes</v>
      </c>
      <c r="AU568" s="30"/>
      <c r="AV568" s="31"/>
      <c r="AW568" s="31" t="s">
        <v>59</v>
      </c>
      <c r="AX568" s="2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</row>
    <row r="569" spans="1:74" x14ac:dyDescent="0.25">
      <c r="A569" s="25">
        <v>566</v>
      </c>
      <c r="B569" s="23" t="s">
        <v>1461</v>
      </c>
      <c r="C569" s="23" t="s">
        <v>1453</v>
      </c>
      <c r="D569" s="26" t="s">
        <v>1462</v>
      </c>
      <c r="E569" s="23">
        <v>14</v>
      </c>
      <c r="F569" s="23" t="s">
        <v>108</v>
      </c>
      <c r="G569" s="23">
        <f>VLOOKUP(C569,[2]Sheet2!$T$3:$V$92,3,FALSE)</f>
        <v>78</v>
      </c>
      <c r="H569" s="23" t="s">
        <v>68</v>
      </c>
      <c r="I569" s="23" t="s">
        <v>436</v>
      </c>
      <c r="J569" s="23"/>
      <c r="K569" s="6">
        <v>0</v>
      </c>
      <c r="L569" s="23"/>
      <c r="M569" s="23"/>
      <c r="N569" s="23"/>
      <c r="O569" s="23" t="e">
        <f t="shared" si="105"/>
        <v>#VALUE!</v>
      </c>
      <c r="P569" s="23"/>
      <c r="Q569" s="23"/>
      <c r="R569" s="27"/>
      <c r="S569" s="27"/>
      <c r="T569" s="23">
        <v>50755266</v>
      </c>
      <c r="U569" s="28">
        <v>4320334512555</v>
      </c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 t="s">
        <v>41</v>
      </c>
      <c r="AN569" s="23" t="s">
        <v>58</v>
      </c>
      <c r="AO569" s="23" t="s">
        <v>58</v>
      </c>
      <c r="AP569" s="23" t="s">
        <v>58</v>
      </c>
      <c r="AQ569" s="23"/>
      <c r="AR569" s="23"/>
      <c r="AS569" s="23" t="str">
        <f>IF(AND(AN569="Yes", AO569="Yes", AP569="Yes"), "Yes", IF(AND(AN569="", AO569="", AP569=""), "No", "Incomplete"))</f>
        <v>Yes</v>
      </c>
      <c r="AT569" s="29" t="str">
        <f t="shared" si="97"/>
        <v>Yes</v>
      </c>
      <c r="AU569" s="30"/>
      <c r="AV569" s="31"/>
      <c r="AW569" s="31" t="s">
        <v>59</v>
      </c>
      <c r="AX569" s="2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</row>
    <row r="570" spans="1:74" x14ac:dyDescent="0.25">
      <c r="A570" s="25">
        <v>567</v>
      </c>
      <c r="B570" s="23" t="s">
        <v>1463</v>
      </c>
      <c r="C570" s="23" t="s">
        <v>1453</v>
      </c>
      <c r="D570" s="26" t="s">
        <v>1464</v>
      </c>
      <c r="E570" s="23">
        <v>13</v>
      </c>
      <c r="F570" s="23" t="s">
        <v>131</v>
      </c>
      <c r="G570" s="23">
        <f>VLOOKUP(C570,[2]Sheet2!$T$3:$V$92,3,FALSE)</f>
        <v>78</v>
      </c>
      <c r="H570" s="23" t="s">
        <v>68</v>
      </c>
      <c r="I570" s="23" t="s">
        <v>436</v>
      </c>
      <c r="J570" s="23"/>
      <c r="K570" s="6">
        <v>0</v>
      </c>
      <c r="L570" s="23"/>
      <c r="M570" s="23"/>
      <c r="N570" s="23"/>
      <c r="O570" s="23" t="e">
        <f t="shared" si="105"/>
        <v>#VALUE!</v>
      </c>
      <c r="P570" s="23"/>
      <c r="Q570" s="23"/>
      <c r="R570" s="27"/>
      <c r="S570" s="27"/>
      <c r="T570" s="23">
        <v>50708218</v>
      </c>
      <c r="U570" s="28">
        <v>4440193234345</v>
      </c>
      <c r="V570" s="23"/>
      <c r="W570" s="23" t="s">
        <v>212</v>
      </c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 t="s">
        <v>41</v>
      </c>
      <c r="AN570" s="32" t="s">
        <v>58</v>
      </c>
      <c r="AO570" s="39" t="s">
        <v>58</v>
      </c>
      <c r="AP570" s="32" t="s">
        <v>58</v>
      </c>
      <c r="AQ570" s="23"/>
      <c r="AR570" s="23"/>
      <c r="AS570" s="23" t="str">
        <f>IF(AND(AN570="Yes", AO570="Yes"), "Yes", IF(AND(AN570="", AO570=""), "No", "Incomplete"))</f>
        <v>Yes</v>
      </c>
      <c r="AT570" s="29" t="str">
        <f t="shared" si="97"/>
        <v>Yes</v>
      </c>
      <c r="AU570" s="30"/>
      <c r="AV570" s="31"/>
      <c r="AW570" s="31" t="s">
        <v>59</v>
      </c>
      <c r="AX570" s="2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</row>
    <row r="571" spans="1:74" x14ac:dyDescent="0.25">
      <c r="A571" s="25">
        <v>568</v>
      </c>
      <c r="B571" s="23" t="s">
        <v>1465</v>
      </c>
      <c r="C571" s="23" t="s">
        <v>1453</v>
      </c>
      <c r="D571" s="41" t="s">
        <v>1466</v>
      </c>
      <c r="E571" s="23">
        <v>11</v>
      </c>
      <c r="F571" s="23" t="s">
        <v>138</v>
      </c>
      <c r="G571" s="23">
        <f>VLOOKUP(C571,[2]Sheet2!$T$3:$V$92,3,FALSE)</f>
        <v>78</v>
      </c>
      <c r="H571" s="23" t="s">
        <v>68</v>
      </c>
      <c r="I571" s="23" t="s">
        <v>436</v>
      </c>
      <c r="J571" s="23"/>
      <c r="K571" s="6">
        <v>0</v>
      </c>
      <c r="L571" s="23"/>
      <c r="M571" s="23"/>
      <c r="N571" s="23"/>
      <c r="O571" s="23" t="e">
        <f t="shared" si="105"/>
        <v>#VALUE!</v>
      </c>
      <c r="P571" s="23"/>
      <c r="Q571" s="23"/>
      <c r="R571" s="27">
        <v>45953</v>
      </c>
      <c r="S571" s="27">
        <v>45953</v>
      </c>
      <c r="T571" s="23"/>
      <c r="U571" s="28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 t="s">
        <v>41</v>
      </c>
      <c r="AN571" s="32" t="s">
        <v>58</v>
      </c>
      <c r="AO571" s="32" t="s">
        <v>58</v>
      </c>
      <c r="AP571" s="32" t="s">
        <v>58</v>
      </c>
      <c r="AQ571" s="23"/>
      <c r="AR571" s="23"/>
      <c r="AS571" s="23" t="str">
        <f>IF(AND(AN571="Yes", AO571="Yes"), "Yes", IF(AND(AN571="", AO571=""), "No", "Incomplete"))</f>
        <v>Yes</v>
      </c>
      <c r="AT571" s="29" t="str">
        <f t="shared" si="97"/>
        <v>Yes</v>
      </c>
      <c r="AU571" s="30"/>
      <c r="AV571" s="31"/>
      <c r="AW571" s="31"/>
      <c r="AX571" s="2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</row>
    <row r="572" spans="1:74" x14ac:dyDescent="0.25">
      <c r="A572" s="25">
        <v>569</v>
      </c>
      <c r="B572" s="23" t="s">
        <v>1467</v>
      </c>
      <c r="C572" s="23" t="s">
        <v>1453</v>
      </c>
      <c r="D572" s="26" t="s">
        <v>66</v>
      </c>
      <c r="E572" s="23">
        <v>11</v>
      </c>
      <c r="F572" s="23" t="s">
        <v>138</v>
      </c>
      <c r="G572" s="23">
        <f>VLOOKUP(C572,[2]Sheet2!$T$3:$V$92,3,FALSE)</f>
        <v>78</v>
      </c>
      <c r="H572" s="23" t="s">
        <v>68</v>
      </c>
      <c r="I572" s="23" t="s">
        <v>436</v>
      </c>
      <c r="J572" s="23"/>
      <c r="K572" s="6">
        <v>0</v>
      </c>
      <c r="L572" s="23"/>
      <c r="M572" s="23"/>
      <c r="N572" s="23"/>
      <c r="O572" s="23" t="e">
        <f t="shared" si="105"/>
        <v>#VALUE!</v>
      </c>
      <c r="P572" s="23"/>
      <c r="Q572" s="23"/>
      <c r="R572" s="27"/>
      <c r="S572" s="27"/>
      <c r="T572" s="23"/>
      <c r="U572" s="28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 t="s">
        <v>66</v>
      </c>
      <c r="AN572" s="23"/>
      <c r="AO572" s="23"/>
      <c r="AP572" s="23"/>
      <c r="AQ572" s="23"/>
      <c r="AR572" s="23"/>
      <c r="AS572" s="23" t="str">
        <f t="shared" ref="AS572:AS577" si="106">IF(AND(AN572="Yes"), "Yes", IF(AND(AN572=""), "No", "Incomplete"))</f>
        <v>No</v>
      </c>
      <c r="AT572" s="29" t="str">
        <f t="shared" si="97"/>
        <v>Vacant</v>
      </c>
      <c r="AU572" s="30"/>
      <c r="AV572" s="31"/>
      <c r="AW572" s="31"/>
      <c r="AX572" s="2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</row>
    <row r="573" spans="1:74" x14ac:dyDescent="0.25">
      <c r="A573" s="25">
        <v>570</v>
      </c>
      <c r="B573" s="23" t="s">
        <v>1468</v>
      </c>
      <c r="C573" s="23" t="s">
        <v>1453</v>
      </c>
      <c r="D573" s="26" t="s">
        <v>1469</v>
      </c>
      <c r="E573" s="23">
        <v>7</v>
      </c>
      <c r="F573" s="23" t="s">
        <v>264</v>
      </c>
      <c r="G573" s="23">
        <f>VLOOKUP(C573,[2]Sheet2!$T$3:$V$92,3,FALSE)</f>
        <v>78</v>
      </c>
      <c r="H573" s="23" t="s">
        <v>68</v>
      </c>
      <c r="I573" s="23" t="s">
        <v>436</v>
      </c>
      <c r="J573" s="23"/>
      <c r="K573" s="6">
        <v>0</v>
      </c>
      <c r="L573" s="23"/>
      <c r="M573" s="23"/>
      <c r="N573" s="23"/>
      <c r="O573" s="23" t="e">
        <f t="shared" si="105"/>
        <v>#VALUE!</v>
      </c>
      <c r="P573" s="23"/>
      <c r="Q573" s="23"/>
      <c r="R573" s="27"/>
      <c r="S573" s="27"/>
      <c r="T573" s="23">
        <v>10425443</v>
      </c>
      <c r="U573" s="28">
        <v>4410733615765</v>
      </c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 t="s">
        <v>73</v>
      </c>
      <c r="AN573" s="23"/>
      <c r="AO573" s="23"/>
      <c r="AP573" s="23"/>
      <c r="AQ573" s="23"/>
      <c r="AR573" s="23"/>
      <c r="AS573" s="23" t="str">
        <f t="shared" si="106"/>
        <v>No</v>
      </c>
      <c r="AT573" s="29" t="str">
        <f t="shared" si="97"/>
        <v>NA</v>
      </c>
      <c r="AU573" s="30"/>
      <c r="AV573" s="31"/>
      <c r="AW573" s="31" t="s">
        <v>59</v>
      </c>
      <c r="AX573" s="2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</row>
    <row r="574" spans="1:74" x14ac:dyDescent="0.25">
      <c r="A574" s="25">
        <v>571</v>
      </c>
      <c r="B574" s="23" t="s">
        <v>1470</v>
      </c>
      <c r="C574" s="23" t="s">
        <v>1453</v>
      </c>
      <c r="D574" s="26" t="s">
        <v>1285</v>
      </c>
      <c r="E574" s="23">
        <v>5</v>
      </c>
      <c r="F574" s="23" t="s">
        <v>71</v>
      </c>
      <c r="G574" s="23">
        <f>VLOOKUP(C574,[2]Sheet2!$T$3:$V$92,3,FALSE)</f>
        <v>78</v>
      </c>
      <c r="H574" s="23" t="s">
        <v>68</v>
      </c>
      <c r="I574" s="23" t="s">
        <v>436</v>
      </c>
      <c r="J574" s="23"/>
      <c r="K574" s="6">
        <v>0.6</v>
      </c>
      <c r="L574" s="23" t="s">
        <v>564</v>
      </c>
      <c r="M574" s="23"/>
      <c r="N574" s="23"/>
      <c r="O574" s="23" t="e">
        <f t="shared" si="105"/>
        <v>#VALUE!</v>
      </c>
      <c r="P574" s="23"/>
      <c r="Q574" s="23"/>
      <c r="R574" s="27"/>
      <c r="S574" s="27"/>
      <c r="T574" s="23">
        <v>50175464</v>
      </c>
      <c r="U574" s="28">
        <v>4410757296581</v>
      </c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 t="s">
        <v>73</v>
      </c>
      <c r="AN574" s="23"/>
      <c r="AO574" s="23"/>
      <c r="AP574" s="23"/>
      <c r="AQ574" s="23"/>
      <c r="AR574" s="23"/>
      <c r="AS574" s="23" t="str">
        <f t="shared" si="106"/>
        <v>No</v>
      </c>
      <c r="AT574" s="29" t="str">
        <f t="shared" si="97"/>
        <v>NA</v>
      </c>
      <c r="AU574" s="30"/>
      <c r="AV574" s="31"/>
      <c r="AW574" s="31" t="s">
        <v>59</v>
      </c>
      <c r="AX574" s="2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</row>
    <row r="575" spans="1:74" x14ac:dyDescent="0.25">
      <c r="A575" s="25">
        <v>572</v>
      </c>
      <c r="B575" s="23" t="s">
        <v>1471</v>
      </c>
      <c r="C575" s="23" t="s">
        <v>1453</v>
      </c>
      <c r="D575" s="26" t="s">
        <v>1472</v>
      </c>
      <c r="E575" s="23">
        <v>4</v>
      </c>
      <c r="F575" s="23" t="s">
        <v>161</v>
      </c>
      <c r="G575" s="23">
        <f>VLOOKUP(C575,[2]Sheet2!$T$3:$V$92,3,FALSE)</f>
        <v>78</v>
      </c>
      <c r="H575" s="23" t="s">
        <v>68</v>
      </c>
      <c r="I575" s="23" t="s">
        <v>436</v>
      </c>
      <c r="J575" s="23"/>
      <c r="K575" s="6">
        <v>0.7</v>
      </c>
      <c r="L575" s="23" t="s">
        <v>376</v>
      </c>
      <c r="M575" s="43" t="s">
        <v>1418</v>
      </c>
      <c r="N575" s="43"/>
      <c r="O575" s="23" t="e">
        <f t="shared" si="105"/>
        <v>#VALUE!</v>
      </c>
      <c r="P575" s="43"/>
      <c r="Q575" s="43"/>
      <c r="R575" s="44">
        <v>41456</v>
      </c>
      <c r="S575" s="44">
        <v>41456</v>
      </c>
      <c r="T575" s="23">
        <v>10425446</v>
      </c>
      <c r="U575" s="28">
        <v>4410708389523</v>
      </c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 t="s">
        <v>40</v>
      </c>
      <c r="AN575" s="23"/>
      <c r="AO575" s="32" t="s">
        <v>58</v>
      </c>
      <c r="AP575" s="23"/>
      <c r="AQ575" s="23"/>
      <c r="AR575" s="23"/>
      <c r="AS575" s="23" t="str">
        <f t="shared" si="106"/>
        <v>No</v>
      </c>
      <c r="AT575" s="29" t="str">
        <f t="shared" si="97"/>
        <v>Yes</v>
      </c>
      <c r="AU575" s="30"/>
      <c r="AV575" s="31"/>
      <c r="AW575" s="31" t="s">
        <v>59</v>
      </c>
      <c r="AX575" s="2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</row>
    <row r="576" spans="1:74" x14ac:dyDescent="0.25">
      <c r="A576" s="25">
        <v>573</v>
      </c>
      <c r="B576" s="23" t="s">
        <v>1473</v>
      </c>
      <c r="C576" s="23" t="s">
        <v>1453</v>
      </c>
      <c r="D576" s="26" t="s">
        <v>1474</v>
      </c>
      <c r="E576" s="23">
        <v>4</v>
      </c>
      <c r="F576" s="23" t="s">
        <v>161</v>
      </c>
      <c r="G576" s="23">
        <f>VLOOKUP(C576,[2]Sheet2!$T$3:$V$92,3,FALSE)</f>
        <v>78</v>
      </c>
      <c r="H576" s="23" t="s">
        <v>68</v>
      </c>
      <c r="I576" s="23" t="s">
        <v>436</v>
      </c>
      <c r="J576" s="23"/>
      <c r="K576" s="6">
        <v>0</v>
      </c>
      <c r="L576" s="23"/>
      <c r="M576" s="43" t="s">
        <v>1418</v>
      </c>
      <c r="N576" s="43"/>
      <c r="O576" s="23" t="e">
        <f t="shared" si="105"/>
        <v>#VALUE!</v>
      </c>
      <c r="P576" s="43"/>
      <c r="Q576" s="43"/>
      <c r="R576" s="44">
        <v>41456</v>
      </c>
      <c r="S576" s="44">
        <v>41456</v>
      </c>
      <c r="T576" s="23">
        <v>50175458</v>
      </c>
      <c r="U576" s="28">
        <v>4410780178373</v>
      </c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 t="s">
        <v>40</v>
      </c>
      <c r="AN576" s="23"/>
      <c r="AO576" s="23" t="s">
        <v>58</v>
      </c>
      <c r="AP576" s="23"/>
      <c r="AQ576" s="23"/>
      <c r="AR576" s="23"/>
      <c r="AS576" s="23" t="str">
        <f t="shared" si="106"/>
        <v>No</v>
      </c>
      <c r="AT576" s="29" t="str">
        <f t="shared" si="97"/>
        <v>Yes</v>
      </c>
      <c r="AU576" s="30"/>
      <c r="AV576" s="31"/>
      <c r="AW576" s="31" t="s">
        <v>59</v>
      </c>
      <c r="AX576" s="2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</row>
    <row r="577" spans="1:74" x14ac:dyDescent="0.25">
      <c r="A577" s="25">
        <v>574</v>
      </c>
      <c r="B577" s="23" t="s">
        <v>1475</v>
      </c>
      <c r="C577" s="23" t="s">
        <v>1453</v>
      </c>
      <c r="D577" s="26" t="s">
        <v>1476</v>
      </c>
      <c r="E577" s="23">
        <v>4</v>
      </c>
      <c r="F577" s="23" t="s">
        <v>71</v>
      </c>
      <c r="G577" s="23">
        <f>VLOOKUP(C577,[2]Sheet2!$T$3:$V$92,3,FALSE)</f>
        <v>78</v>
      </c>
      <c r="H577" s="23" t="s">
        <v>68</v>
      </c>
      <c r="I577" s="23" t="s">
        <v>436</v>
      </c>
      <c r="J577" s="23"/>
      <c r="K577" s="6">
        <v>0</v>
      </c>
      <c r="L577" s="23"/>
      <c r="M577" s="23"/>
      <c r="N577" s="23"/>
      <c r="O577" s="23" t="e">
        <f t="shared" si="105"/>
        <v>#VALUE!</v>
      </c>
      <c r="P577" s="23"/>
      <c r="Q577" s="23"/>
      <c r="R577" s="27"/>
      <c r="S577" s="27"/>
      <c r="T577" s="23">
        <v>50220244</v>
      </c>
      <c r="U577" s="28">
        <v>4220127702323</v>
      </c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 t="s">
        <v>39</v>
      </c>
      <c r="AN577" s="32" t="s">
        <v>58</v>
      </c>
      <c r="AO577" s="23"/>
      <c r="AP577" s="23"/>
      <c r="AQ577" s="23"/>
      <c r="AR577" s="23"/>
      <c r="AS577" s="23" t="str">
        <f t="shared" si="106"/>
        <v>Yes</v>
      </c>
      <c r="AT577" s="29" t="str">
        <f t="shared" si="97"/>
        <v>Yes</v>
      </c>
      <c r="AU577" s="30"/>
      <c r="AV577" s="31"/>
      <c r="AW577" s="31" t="s">
        <v>59</v>
      </c>
      <c r="AX577" s="2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</row>
    <row r="578" spans="1:74" x14ac:dyDescent="0.25">
      <c r="A578" s="25">
        <v>575</v>
      </c>
      <c r="B578" s="23" t="s">
        <v>1477</v>
      </c>
      <c r="C578" s="23" t="s">
        <v>1478</v>
      </c>
      <c r="D578" s="26" t="s">
        <v>1479</v>
      </c>
      <c r="E578" s="23">
        <v>19</v>
      </c>
      <c r="F578" s="23" t="s">
        <v>555</v>
      </c>
      <c r="G578" s="23">
        <f>VLOOKUP(C578,[2]Sheet2!$T$3:$V$92,3,FALSE)</f>
        <v>79</v>
      </c>
      <c r="H578" s="23" t="s">
        <v>54</v>
      </c>
      <c r="I578" s="23" t="s">
        <v>436</v>
      </c>
      <c r="J578" s="23"/>
      <c r="L578" s="23"/>
      <c r="M578" s="23"/>
      <c r="N578" s="23" t="s">
        <v>81</v>
      </c>
      <c r="O578" s="23" t="e">
        <f ca="1">IF(ISNUMBER(SEARCH("to", N578)),
_xlfn.LET(
    _xlpm.text_n3, N578,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78" s="23"/>
      <c r="Q578" s="23" t="s">
        <v>1480</v>
      </c>
      <c r="R578" s="27"/>
      <c r="S578" s="27"/>
      <c r="T578" s="23">
        <v>10442021</v>
      </c>
      <c r="U578" s="28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 t="s">
        <v>42</v>
      </c>
      <c r="AN578" s="23"/>
      <c r="AO578" s="23"/>
      <c r="AP578" s="23"/>
      <c r="AQ578" s="32" t="s">
        <v>58</v>
      </c>
      <c r="AR578" s="23"/>
      <c r="AS578" s="23" t="str">
        <f t="shared" ref="AS578:AS625" si="107">IF(AND(AN578="Yes", AO578="Yes", AP578="Yes"), "Yes", IF(AND(AN578="", AO578="", AP578=""), "No", "Incomplete"))</f>
        <v>No</v>
      </c>
      <c r="AT578" s="29" t="str">
        <f t="shared" si="97"/>
        <v>Yes</v>
      </c>
      <c r="AU578" s="30"/>
      <c r="AV578" s="31"/>
      <c r="AW578" s="31" t="s">
        <v>59</v>
      </c>
      <c r="AX578" s="2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</row>
    <row r="579" spans="1:74" x14ac:dyDescent="0.25">
      <c r="A579" s="25">
        <v>576</v>
      </c>
      <c r="B579" s="23" t="s">
        <v>1481</v>
      </c>
      <c r="C579" s="23" t="s">
        <v>1478</v>
      </c>
      <c r="D579" s="26" t="s">
        <v>66</v>
      </c>
      <c r="E579" s="23">
        <v>18</v>
      </c>
      <c r="F579" s="23" t="s">
        <v>557</v>
      </c>
      <c r="G579" s="23">
        <f>VLOOKUP(C579,[2]Sheet2!$T$3:$V$92,3,FALSE)</f>
        <v>79</v>
      </c>
      <c r="H579" s="23" t="s">
        <v>54</v>
      </c>
      <c r="I579" s="23" t="s">
        <v>436</v>
      </c>
      <c r="J579" s="23"/>
      <c r="L579" s="23"/>
      <c r="M579" s="23"/>
      <c r="N579" s="23"/>
      <c r="O579" s="23" t="str">
        <f>IF(ISNUMBER(SEARCH("to", N579)),
_xlfn.LET(
    _xlpm.first_line, LEFT(N579, IFERROR(SEARCH(CHAR(10), N579)-1, LEN(N579))),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579" s="23"/>
      <c r="Q579" s="23"/>
      <c r="R579" s="27"/>
      <c r="S579" s="27"/>
      <c r="T579" s="23"/>
      <c r="U579" s="28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 t="s">
        <v>66</v>
      </c>
      <c r="AN579" s="23"/>
      <c r="AO579" s="23"/>
      <c r="AP579" s="23"/>
      <c r="AQ579" s="23"/>
      <c r="AR579" s="23"/>
      <c r="AS579" s="23" t="str">
        <f t="shared" si="107"/>
        <v>No</v>
      </c>
      <c r="AT579" s="29" t="str">
        <f t="shared" si="97"/>
        <v>Vacant</v>
      </c>
      <c r="AU579" s="30"/>
      <c r="AV579" s="31"/>
      <c r="AW579" s="31"/>
      <c r="AX579" s="2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</row>
    <row r="580" spans="1:74" x14ac:dyDescent="0.25">
      <c r="A580" s="25">
        <v>577</v>
      </c>
      <c r="B580" s="23" t="s">
        <v>1482</v>
      </c>
      <c r="C580" s="23" t="s">
        <v>1478</v>
      </c>
      <c r="D580" s="26" t="s">
        <v>1483</v>
      </c>
      <c r="E580" s="23">
        <v>17</v>
      </c>
      <c r="F580" s="23" t="s">
        <v>560</v>
      </c>
      <c r="G580" s="23">
        <f>VLOOKUP(C580,[2]Sheet2!$T$3:$V$92,3,FALSE)</f>
        <v>79</v>
      </c>
      <c r="H580" s="23" t="s">
        <v>54</v>
      </c>
      <c r="I580" s="23" t="s">
        <v>436</v>
      </c>
      <c r="J580" s="23">
        <v>3</v>
      </c>
      <c r="K580" s="6">
        <v>0.68</v>
      </c>
      <c r="L580" s="23" t="s">
        <v>1484</v>
      </c>
      <c r="M580" s="23"/>
      <c r="N580" s="23"/>
      <c r="O580" s="23" t="e">
        <f>IF(DATEVALUE(MID(N580,15,10))-DATEVALUE(LEFT(N580,10))+1&gt;=365,"1 Year",
DATEDIF(DATEVALUE(LEFT(N580,10)),DATEVALUE(MID(N580,15,10)),"Y")&amp;" Years, "&amp;DATEDIF(DATEVALUE(LEFT(N580,10)),DATEVALUE(MID(N580,15,10)),"YM")&amp;" Months, "&amp;DATEDIF(DATEVALUE(LEFT(N580,10)),DATEVALUE(MID(N580,15,10)),"MD")&amp;" Days")</f>
        <v>#VALUE!</v>
      </c>
      <c r="P580" s="23"/>
      <c r="Q580" s="23"/>
      <c r="R580" s="27"/>
      <c r="S580" s="27"/>
      <c r="T580" s="23">
        <v>10991675</v>
      </c>
      <c r="U580" s="28">
        <v>4120518337022</v>
      </c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 t="s">
        <v>42</v>
      </c>
      <c r="AN580" s="23"/>
      <c r="AO580" s="23"/>
      <c r="AP580" s="32" t="s">
        <v>58</v>
      </c>
      <c r="AQ580" s="32" t="s">
        <v>58</v>
      </c>
      <c r="AR580" s="23"/>
      <c r="AS580" s="23" t="str">
        <f t="shared" si="107"/>
        <v>Incomplete</v>
      </c>
      <c r="AT580" s="29" t="str">
        <f t="shared" si="97"/>
        <v>Yes</v>
      </c>
      <c r="AU580" s="30"/>
      <c r="AV580" s="31"/>
      <c r="AW580" s="31" t="s">
        <v>59</v>
      </c>
      <c r="AX580" s="2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</row>
    <row r="581" spans="1:74" x14ac:dyDescent="0.25">
      <c r="A581" s="25">
        <v>578</v>
      </c>
      <c r="B581" s="23" t="s">
        <v>1485</v>
      </c>
      <c r="C581" s="23" t="s">
        <v>1478</v>
      </c>
      <c r="D581" s="26" t="s">
        <v>1486</v>
      </c>
      <c r="E581" s="23">
        <v>16</v>
      </c>
      <c r="F581" s="23" t="s">
        <v>62</v>
      </c>
      <c r="G581" s="23">
        <f>VLOOKUP(C581,[2]Sheet2!$T$3:$V$92,3,FALSE)</f>
        <v>79</v>
      </c>
      <c r="H581" s="23" t="s">
        <v>54</v>
      </c>
      <c r="I581" s="23" t="s">
        <v>436</v>
      </c>
      <c r="J581" s="23">
        <v>1</v>
      </c>
      <c r="K581" s="6">
        <v>0.7</v>
      </c>
      <c r="L581" s="23" t="s">
        <v>111</v>
      </c>
      <c r="M581" s="23"/>
      <c r="N581" s="23"/>
      <c r="O581" s="23" t="e">
        <f>IF(DATEVALUE(MID(N581,15,10))-DATEVALUE(LEFT(N581,10))+1&gt;=365,"1 Year",
DATEDIF(DATEVALUE(LEFT(N581,10)),DATEVALUE(MID(N581,15,10)),"Y")&amp;" Years, "&amp;DATEDIF(DATEVALUE(LEFT(N581,10)),DATEVALUE(MID(N581,15,10)),"YM")&amp;" Months, "&amp;DATEDIF(DATEVALUE(LEFT(N581,10)),DATEVALUE(MID(N581,15,10)),"MD")&amp;" Days")</f>
        <v>#VALUE!</v>
      </c>
      <c r="P581" s="23"/>
      <c r="Q581" s="23"/>
      <c r="R581" s="27"/>
      <c r="S581" s="27"/>
      <c r="T581" s="23">
        <v>10112751</v>
      </c>
      <c r="U581" s="28">
        <v>4220155284519</v>
      </c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 t="s">
        <v>40</v>
      </c>
      <c r="AN581" s="32" t="s">
        <v>58</v>
      </c>
      <c r="AO581" s="23" t="s">
        <v>58</v>
      </c>
      <c r="AP581" s="23"/>
      <c r="AQ581" s="23"/>
      <c r="AR581" s="23"/>
      <c r="AS581" s="23" t="str">
        <f t="shared" si="107"/>
        <v>Incomplete</v>
      </c>
      <c r="AT581" s="29" t="str">
        <f t="shared" si="97"/>
        <v>Yes</v>
      </c>
      <c r="AU581" s="30"/>
      <c r="AV581" s="31" t="s">
        <v>64</v>
      </c>
      <c r="AW581" s="31" t="s">
        <v>59</v>
      </c>
      <c r="AX581" s="2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</row>
    <row r="582" spans="1:74" x14ac:dyDescent="0.25">
      <c r="A582" s="25">
        <v>580</v>
      </c>
      <c r="B582" s="23" t="s">
        <v>1487</v>
      </c>
      <c r="C582" s="23" t="s">
        <v>1478</v>
      </c>
      <c r="D582" s="26" t="s">
        <v>66</v>
      </c>
      <c r="E582" s="23">
        <v>15</v>
      </c>
      <c r="F582" s="23" t="s">
        <v>67</v>
      </c>
      <c r="G582" s="23">
        <f>VLOOKUP(C582,[2]Sheet2!$T$3:$V$92,3,FALSE)</f>
        <v>79</v>
      </c>
      <c r="H582" s="23" t="s">
        <v>68</v>
      </c>
      <c r="I582" s="23" t="s">
        <v>436</v>
      </c>
      <c r="J582" s="23"/>
      <c r="K582" s="6">
        <v>0</v>
      </c>
      <c r="L582" s="23"/>
      <c r="M582" s="23"/>
      <c r="N582" s="23"/>
      <c r="O582" s="23" t="e">
        <f>IF(DATEVALUE(MID(N582,15,10))-DATEVALUE(LEFT(N582,10))+1&gt;=365,"1 Year",
DATEDIF(DATEVALUE(LEFT(N582,10)),DATEVALUE(MID(N582,15,10)),"Y")&amp;" Years, "&amp;DATEDIF(DATEVALUE(LEFT(N582,10)),DATEVALUE(MID(N582,15,10)),"YM")&amp;" Months, "&amp;DATEDIF(DATEVALUE(LEFT(N582,10)),DATEVALUE(MID(N582,15,10)),"MD")&amp;" Days")</f>
        <v>#VALUE!</v>
      </c>
      <c r="P582" s="23"/>
      <c r="Q582" s="23"/>
      <c r="R582" s="27"/>
      <c r="S582" s="27"/>
      <c r="T582" s="23"/>
      <c r="U582" s="28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 t="s">
        <v>66</v>
      </c>
      <c r="AN582" s="23"/>
      <c r="AO582" s="23"/>
      <c r="AP582" s="23"/>
      <c r="AQ582" s="23"/>
      <c r="AR582" s="23"/>
      <c r="AS582" s="23" t="str">
        <f t="shared" si="107"/>
        <v>No</v>
      </c>
      <c r="AT582" s="29" t="str">
        <f t="shared" si="97"/>
        <v>Vacant</v>
      </c>
      <c r="AU582" s="30"/>
      <c r="AV582" s="31"/>
      <c r="AW582" s="31"/>
      <c r="AX582" s="2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</row>
    <row r="583" spans="1:74" x14ac:dyDescent="0.25">
      <c r="A583" s="25">
        <v>592</v>
      </c>
      <c r="B583" s="23" t="s">
        <v>1488</v>
      </c>
      <c r="C583" s="23" t="s">
        <v>1489</v>
      </c>
      <c r="D583" s="45" t="s">
        <v>1490</v>
      </c>
      <c r="E583" s="23">
        <v>18</v>
      </c>
      <c r="F583" s="23" t="s">
        <v>440</v>
      </c>
      <c r="G583" s="23">
        <f>VLOOKUP(C583,[2]Sheet2!$T$3:$V$92,3,FALSE)</f>
        <v>81</v>
      </c>
      <c r="H583" s="23" t="s">
        <v>54</v>
      </c>
      <c r="I583" s="23" t="s">
        <v>436</v>
      </c>
      <c r="J583" s="23"/>
      <c r="L583" s="23"/>
      <c r="M583" s="23"/>
      <c r="N583" s="23" t="s">
        <v>56</v>
      </c>
      <c r="O583" s="23" t="e">
        <f t="shared" ref="O583:O591" ca="1" si="108">IF(ISNUMBER(SEARCH("to", N583)),
_xlfn.LET(
    _xlpm.text_n3, N583,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83" s="23"/>
      <c r="Q583" s="23" t="s">
        <v>57</v>
      </c>
      <c r="R583" s="27"/>
      <c r="S583" s="27"/>
      <c r="T583" s="23">
        <v>50047908</v>
      </c>
      <c r="U583" s="28">
        <v>6110198472481</v>
      </c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 t="s">
        <v>41</v>
      </c>
      <c r="AN583" s="23"/>
      <c r="AO583" s="23"/>
      <c r="AP583" s="23" t="s">
        <v>58</v>
      </c>
      <c r="AQ583" s="23"/>
      <c r="AR583" s="23"/>
      <c r="AS583" s="23" t="str">
        <f t="shared" si="107"/>
        <v>Incomplete</v>
      </c>
      <c r="AT583" s="29" t="str">
        <f t="shared" si="97"/>
        <v>Yes</v>
      </c>
      <c r="AU583" s="30"/>
      <c r="AV583" s="31"/>
      <c r="AW583" s="31" t="s">
        <v>59</v>
      </c>
      <c r="AX583" s="2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</row>
    <row r="584" spans="1:74" x14ac:dyDescent="0.25">
      <c r="A584" s="25">
        <v>593</v>
      </c>
      <c r="B584" s="23" t="s">
        <v>1491</v>
      </c>
      <c r="C584" s="23" t="s">
        <v>1489</v>
      </c>
      <c r="D584" s="26" t="s">
        <v>1492</v>
      </c>
      <c r="E584" s="23">
        <v>17</v>
      </c>
      <c r="F584" s="23" t="s">
        <v>586</v>
      </c>
      <c r="G584" s="23">
        <f>VLOOKUP(C584,[2]Sheet2!$T$3:$V$92,3,FALSE)</f>
        <v>81</v>
      </c>
      <c r="H584" s="23" t="s">
        <v>54</v>
      </c>
      <c r="I584" s="23" t="s">
        <v>436</v>
      </c>
      <c r="J584" s="23"/>
      <c r="L584" s="23"/>
      <c r="M584" s="23"/>
      <c r="N584" s="23" t="s">
        <v>1493</v>
      </c>
      <c r="O584" s="23" t="e">
        <f t="shared" ca="1" si="108"/>
        <v>#NAME?</v>
      </c>
      <c r="P584" s="23"/>
      <c r="Q584" s="23" t="s">
        <v>57</v>
      </c>
      <c r="R584" s="27"/>
      <c r="S584" s="27"/>
      <c r="T584" s="23">
        <v>50630662</v>
      </c>
      <c r="U584" s="28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 t="s">
        <v>41</v>
      </c>
      <c r="AN584" s="23"/>
      <c r="AO584" s="23"/>
      <c r="AP584" s="32" t="s">
        <v>58</v>
      </c>
      <c r="AQ584" s="23"/>
      <c r="AR584" s="23"/>
      <c r="AS584" s="23" t="str">
        <f t="shared" si="107"/>
        <v>Incomplete</v>
      </c>
      <c r="AT584" s="29" t="str">
        <f t="shared" si="97"/>
        <v>Yes</v>
      </c>
      <c r="AU584" s="30"/>
      <c r="AV584" s="31"/>
      <c r="AW584" s="31" t="s">
        <v>59</v>
      </c>
      <c r="AX584" s="2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</row>
    <row r="585" spans="1:74" s="5" customFormat="1" x14ac:dyDescent="0.25">
      <c r="A585" s="25">
        <v>605</v>
      </c>
      <c r="B585" s="23" t="s">
        <v>1494</v>
      </c>
      <c r="C585" s="23" t="s">
        <v>1495</v>
      </c>
      <c r="D585" s="45" t="s">
        <v>1496</v>
      </c>
      <c r="E585" s="23">
        <v>18</v>
      </c>
      <c r="F585" s="23" t="s">
        <v>440</v>
      </c>
      <c r="G585" s="23">
        <f>VLOOKUP(C585,[2]Sheet2!$T$3:$V$92,3,FALSE)</f>
        <v>82</v>
      </c>
      <c r="H585" s="23" t="s">
        <v>54</v>
      </c>
      <c r="I585" s="23" t="s">
        <v>436</v>
      </c>
      <c r="J585" s="23"/>
      <c r="K585" s="6"/>
      <c r="L585" s="23"/>
      <c r="M585" s="23"/>
      <c r="N585" s="23"/>
      <c r="O585" s="23" t="str">
        <f t="shared" si="108"/>
        <v/>
      </c>
      <c r="P585" s="23"/>
      <c r="Q585" s="23"/>
      <c r="R585" s="27"/>
      <c r="S585" s="27"/>
      <c r="T585" s="23">
        <v>10362667</v>
      </c>
      <c r="U585" s="28">
        <v>4320382460275</v>
      </c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 t="s">
        <v>42</v>
      </c>
      <c r="AN585" s="23" t="s">
        <v>58</v>
      </c>
      <c r="AO585" s="23" t="s">
        <v>58</v>
      </c>
      <c r="AP585" s="23" t="s">
        <v>58</v>
      </c>
      <c r="AQ585" s="23" t="s">
        <v>58</v>
      </c>
      <c r="AR585" s="23"/>
      <c r="AS585" s="23" t="str">
        <f t="shared" si="107"/>
        <v>Yes</v>
      </c>
      <c r="AT585" s="29" t="str">
        <f t="shared" si="97"/>
        <v>Yes</v>
      </c>
      <c r="AU585" s="30"/>
      <c r="AV585" s="31"/>
      <c r="AW585" s="31" t="s">
        <v>59</v>
      </c>
      <c r="AX585" s="2"/>
    </row>
    <row r="586" spans="1:74" x14ac:dyDescent="0.25">
      <c r="A586" s="25">
        <v>606</v>
      </c>
      <c r="B586" s="23" t="s">
        <v>1497</v>
      </c>
      <c r="C586" s="23" t="s">
        <v>1495</v>
      </c>
      <c r="D586" s="26" t="s">
        <v>66</v>
      </c>
      <c r="E586" s="23">
        <v>17</v>
      </c>
      <c r="F586" s="23" t="s">
        <v>586</v>
      </c>
      <c r="G586" s="23">
        <f>VLOOKUP(C586,[2]Sheet2!$T$3:$V$92,3,FALSE)</f>
        <v>82</v>
      </c>
      <c r="H586" s="23" t="s">
        <v>54</v>
      </c>
      <c r="I586" s="23" t="s">
        <v>436</v>
      </c>
      <c r="J586" s="23"/>
      <c r="L586" s="23"/>
      <c r="M586" s="23"/>
      <c r="N586" s="23"/>
      <c r="O586" s="23"/>
      <c r="P586" s="23"/>
      <c r="Q586" s="23"/>
      <c r="R586" s="27"/>
      <c r="S586" s="27"/>
      <c r="T586" s="23"/>
      <c r="U586" s="28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 t="s">
        <v>66</v>
      </c>
      <c r="AN586" s="23"/>
      <c r="AO586" s="23"/>
      <c r="AP586" s="23"/>
      <c r="AQ586" s="23"/>
      <c r="AR586" s="23"/>
      <c r="AS586" s="23" t="str">
        <f t="shared" si="107"/>
        <v>No</v>
      </c>
      <c r="AT586" s="29" t="str">
        <f t="shared" ref="AT586:AT587" si="109">IF(AM586="Matric",IF(AN586="Yes","Yes",IF(AN586="Under Process", "Under Process","No")),IF(AM586="Inter",IF(AO586="Yes","Yes",IF(AO586="Under Process", "Under Process","No")),IF(AM586="Bachelor",IF(AP586="Yes","Yes",IF(AP586="Under Process", "Under Process","No")),IF(AM586="Master",IF(AQ586="Yes","Yes",IF(AQ586="Under Process", "Under Process","No")),IF(AM586="Vacant",IF(D594="Yes","No","Vacant"),IF(AM586="NA",IF(D594="Yes","No","NA"),"No"))))))</f>
        <v>Vacant</v>
      </c>
      <c r="AU586" s="30"/>
      <c r="AV586" s="31"/>
      <c r="AW586" s="31" t="s">
        <v>59</v>
      </c>
      <c r="AX586" s="2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</row>
    <row r="587" spans="1:74" x14ac:dyDescent="0.25">
      <c r="A587" s="25">
        <v>619</v>
      </c>
      <c r="B587" s="23" t="s">
        <v>1498</v>
      </c>
      <c r="C587" s="23" t="s">
        <v>1499</v>
      </c>
      <c r="D587" s="26" t="s">
        <v>1500</v>
      </c>
      <c r="E587" s="23">
        <v>17</v>
      </c>
      <c r="F587" s="23" t="s">
        <v>586</v>
      </c>
      <c r="G587" s="23">
        <f>VLOOKUP(C587,[2]Sheet2!$T$3:$V$92,3,FALSE)</f>
        <v>83</v>
      </c>
      <c r="H587" s="23" t="s">
        <v>54</v>
      </c>
      <c r="I587" s="23" t="s">
        <v>436</v>
      </c>
      <c r="J587" s="23"/>
      <c r="L587" s="23"/>
      <c r="M587" s="23"/>
      <c r="N587" s="23"/>
      <c r="O587" s="23" t="str">
        <f t="shared" si="108"/>
        <v/>
      </c>
      <c r="P587" s="23"/>
      <c r="Q587" s="23"/>
      <c r="R587" s="27"/>
      <c r="S587" s="27"/>
      <c r="T587" s="23"/>
      <c r="U587" s="28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 t="s">
        <v>41</v>
      </c>
      <c r="AN587" s="23"/>
      <c r="AO587" s="23"/>
      <c r="AP587" s="32" t="s">
        <v>58</v>
      </c>
      <c r="AQ587" s="23"/>
      <c r="AR587" s="23"/>
      <c r="AS587" s="23" t="str">
        <f t="shared" si="107"/>
        <v>Incomplete</v>
      </c>
      <c r="AT587" s="29" t="str">
        <f t="shared" si="109"/>
        <v>Yes</v>
      </c>
      <c r="AU587" s="30"/>
      <c r="AV587" s="31"/>
      <c r="AW587" s="31" t="s">
        <v>59</v>
      </c>
      <c r="AX587" s="2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</row>
    <row r="588" spans="1:74" x14ac:dyDescent="0.25">
      <c r="A588" s="25">
        <v>618</v>
      </c>
      <c r="B588" s="23" t="s">
        <v>1501</v>
      </c>
      <c r="C588" s="23" t="s">
        <v>1499</v>
      </c>
      <c r="D588" s="26" t="s">
        <v>1502</v>
      </c>
      <c r="E588" s="23">
        <v>18</v>
      </c>
      <c r="F588" s="23" t="s">
        <v>440</v>
      </c>
      <c r="G588" s="23">
        <f>VLOOKUP(C588,[2]Sheet2!$T$3:$V$92,3,FALSE)</f>
        <v>83</v>
      </c>
      <c r="H588" s="23" t="s">
        <v>54</v>
      </c>
      <c r="I588" s="23" t="s">
        <v>436</v>
      </c>
      <c r="J588" s="23"/>
      <c r="L588" s="23"/>
      <c r="M588" s="23"/>
      <c r="N588" s="23" t="s">
        <v>56</v>
      </c>
      <c r="O588" s="23" t="e">
        <f t="shared" ca="1" si="108"/>
        <v>#NAME?</v>
      </c>
      <c r="P588" s="23"/>
      <c r="Q588" s="23" t="s">
        <v>57</v>
      </c>
      <c r="R588" s="27"/>
      <c r="S588" s="27"/>
      <c r="T588" s="23">
        <v>50621468</v>
      </c>
      <c r="U588" s="28" t="s">
        <v>1503</v>
      </c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 t="s">
        <v>42</v>
      </c>
      <c r="AN588" s="23" t="s">
        <v>58</v>
      </c>
      <c r="AO588" s="23" t="s">
        <v>58</v>
      </c>
      <c r="AP588" s="32" t="s">
        <v>58</v>
      </c>
      <c r="AQ588" s="32" t="s">
        <v>58</v>
      </c>
      <c r="AR588" s="23"/>
      <c r="AS588" s="23" t="str">
        <f t="shared" si="107"/>
        <v>Yes</v>
      </c>
      <c r="AT588" s="29" t="str">
        <f>IF(AM588="Matric",IF(AN588="Yes","Yes",IF(AN588="Under Process", "Under Process","No")),IF(AM588="Inter",IF(AO588="Yes","Yes",IF(AO588="Under Process", "Under Process","No")),IF(AM588="Bachelor",IF(AP588="Yes","Yes",IF(AP588="Under Process", "Under Process","No")),IF(AM588="Master",IF(AQ588="Yes","Yes",IF(AQ588="Under Process", "Under Process","No")),IF(AM588="Vacant",IF(#REF!="Yes","No","Vacant"),IF(AM588="NA",IF(#REF!="Yes","No","NA"),"No"))))))</f>
        <v>Yes</v>
      </c>
      <c r="AU588" s="30"/>
      <c r="AV588" s="31"/>
      <c r="AW588" s="31" t="s">
        <v>59</v>
      </c>
      <c r="AX588" s="2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</row>
    <row r="589" spans="1:74" x14ac:dyDescent="0.25">
      <c r="A589" s="25">
        <v>633</v>
      </c>
      <c r="B589" s="23" t="s">
        <v>1504</v>
      </c>
      <c r="C589" s="23" t="s">
        <v>1505</v>
      </c>
      <c r="D589" s="26" t="s">
        <v>1506</v>
      </c>
      <c r="E589" s="23">
        <v>18</v>
      </c>
      <c r="F589" s="23" t="s">
        <v>440</v>
      </c>
      <c r="G589" s="23">
        <f>VLOOKUP(C589,[2]Sheet2!$T$3:$V$92,3,FALSE)</f>
        <v>84</v>
      </c>
      <c r="H589" s="23" t="s">
        <v>54</v>
      </c>
      <c r="I589" s="23" t="s">
        <v>436</v>
      </c>
      <c r="J589" s="23"/>
      <c r="L589" s="23"/>
      <c r="M589" s="23"/>
      <c r="N589" s="23" t="s">
        <v>56</v>
      </c>
      <c r="O589" s="23" t="e">
        <f t="shared" ca="1" si="108"/>
        <v>#NAME?</v>
      </c>
      <c r="P589" s="23"/>
      <c r="Q589" s="23" t="s">
        <v>57</v>
      </c>
      <c r="R589" s="27"/>
      <c r="S589" s="27"/>
      <c r="T589" s="23">
        <v>50269013</v>
      </c>
      <c r="U589" s="28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 t="s">
        <v>42</v>
      </c>
      <c r="AN589" s="32" t="s">
        <v>58</v>
      </c>
      <c r="AO589" s="32" t="s">
        <v>58</v>
      </c>
      <c r="AP589" s="32" t="s">
        <v>58</v>
      </c>
      <c r="AQ589" s="32" t="s">
        <v>58</v>
      </c>
      <c r="AR589" s="23"/>
      <c r="AS589" s="23" t="str">
        <f t="shared" si="107"/>
        <v>Yes</v>
      </c>
      <c r="AT589" s="29" t="str">
        <f>IF(AM589="Matric",IF(AN589="Yes","Yes",IF(AN589="Under Process", "Under Process","No")),IF(AM589="Inter",IF(AO589="Yes","Yes",IF(AO589="Under Process", "Under Process","No")),IF(AM589="Bachelor",IF(AP589="Yes","Yes",IF(AP589="Under Process", "Under Process","No")),IF(AM589="Master",IF(AQ589="Yes","Yes",IF(AQ589="Under Process", "Under Process","No")),IF(AM589="Vacant",IF(D597="Yes","No","Vacant"),IF(AM589="NA",IF(D597="Yes","No","NA"),"No"))))))</f>
        <v>Yes</v>
      </c>
      <c r="AU589" s="30"/>
      <c r="AV589" s="31"/>
      <c r="AW589" s="31" t="s">
        <v>59</v>
      </c>
      <c r="AX589" s="2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</row>
    <row r="590" spans="1:74" x14ac:dyDescent="0.25">
      <c r="A590" s="25">
        <v>634</v>
      </c>
      <c r="B590" s="23" t="s">
        <v>1507</v>
      </c>
      <c r="C590" s="23" t="s">
        <v>1505</v>
      </c>
      <c r="D590" s="26" t="s">
        <v>1508</v>
      </c>
      <c r="E590" s="23">
        <v>17</v>
      </c>
      <c r="F590" s="23" t="s">
        <v>586</v>
      </c>
      <c r="G590" s="23">
        <f>VLOOKUP(C590,[2]Sheet2!$T$3:$V$92,3,FALSE)</f>
        <v>84</v>
      </c>
      <c r="H590" s="23" t="s">
        <v>54</v>
      </c>
      <c r="I590" s="23" t="s">
        <v>436</v>
      </c>
      <c r="J590" s="23"/>
      <c r="L590" s="23"/>
      <c r="M590" s="23"/>
      <c r="N590" s="23" t="s">
        <v>56</v>
      </c>
      <c r="O590" s="23" t="e">
        <f t="shared" ca="1" si="108"/>
        <v>#NAME?</v>
      </c>
      <c r="P590" s="23"/>
      <c r="Q590" s="23" t="s">
        <v>57</v>
      </c>
      <c r="R590" s="27"/>
      <c r="S590" s="27"/>
      <c r="T590" s="23">
        <v>50621477</v>
      </c>
      <c r="U590" s="28">
        <v>4220169197280</v>
      </c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>
        <v>17</v>
      </c>
      <c r="AI590" s="23"/>
      <c r="AJ590" s="23"/>
      <c r="AK590" s="23"/>
      <c r="AL590" s="23"/>
      <c r="AM590" s="23" t="s">
        <v>42</v>
      </c>
      <c r="AN590" s="32" t="s">
        <v>58</v>
      </c>
      <c r="AO590" s="32" t="s">
        <v>58</v>
      </c>
      <c r="AP590" s="23" t="s">
        <v>58</v>
      </c>
      <c r="AQ590" s="23" t="s">
        <v>58</v>
      </c>
      <c r="AR590" s="23"/>
      <c r="AS590" s="23" t="str">
        <f t="shared" si="107"/>
        <v>Yes</v>
      </c>
      <c r="AT590" s="29" t="str">
        <f>IF(AM590="Matric",IF(AN590="Yes","Yes",IF(AN590="Under Process", "Under Process","No")),IF(AM590="Inter",IF(AO590="Yes","Yes",IF(AO590="Under Process", "Under Process","No")),IF(AM590="Bachelor",IF(AP590="Yes","Yes",IF(AP590="Under Process", "Under Process","No")),IF(AM590="Master",IF(AQ590="Yes","Yes",IF(AQ590="Under Process", "Under Process","No")),IF(AM590="Vacant",IF(D598="Yes","No","Vacant"),IF(AM590="NA",IF(D598="Yes","No","NA"),"No"))))))</f>
        <v>Yes</v>
      </c>
      <c r="AU590" s="30"/>
      <c r="AV590" s="31"/>
      <c r="AW590" s="31" t="s">
        <v>59</v>
      </c>
      <c r="AX590" s="2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</row>
    <row r="591" spans="1:74" x14ac:dyDescent="0.25">
      <c r="A591" s="25">
        <v>586</v>
      </c>
      <c r="B591" s="23" t="s">
        <v>736</v>
      </c>
      <c r="C591" s="23" t="s">
        <v>1509</v>
      </c>
      <c r="D591" s="26" t="s">
        <v>66</v>
      </c>
      <c r="E591" s="23">
        <v>17</v>
      </c>
      <c r="F591" s="23" t="s">
        <v>586</v>
      </c>
      <c r="G591" s="23">
        <f>VLOOKUP(C591,[2]Sheet2!$T$3:$V$92,3,FALSE)</f>
        <v>80</v>
      </c>
      <c r="H591" s="23" t="s">
        <v>54</v>
      </c>
      <c r="I591" s="23" t="s">
        <v>436</v>
      </c>
      <c r="J591" s="23"/>
      <c r="L591" s="23"/>
      <c r="M591" s="23"/>
      <c r="N591" s="23"/>
      <c r="O591" s="23" t="str">
        <f t="shared" si="108"/>
        <v/>
      </c>
      <c r="P591" s="23"/>
      <c r="Q591" s="23"/>
      <c r="R591" s="27"/>
      <c r="S591" s="27"/>
      <c r="T591" s="23"/>
      <c r="U591" s="28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 t="s">
        <v>66</v>
      </c>
      <c r="AN591" s="23"/>
      <c r="AO591" s="23"/>
      <c r="AP591" s="23"/>
      <c r="AQ591" s="23"/>
      <c r="AR591" s="23"/>
      <c r="AS591" s="23" t="str">
        <f t="shared" si="107"/>
        <v>No</v>
      </c>
      <c r="AT591" s="29" t="str">
        <f>IF(AM591="Matric",IF(AN591="Yes","Yes",IF(AN591="Under Process", "Under Process","No")),IF(AM591="Inter",IF(AO591="Yes","Yes",IF(AO591="Under Process", "Under Process","No")),IF(AM591="Bachelor",IF(AP591="Yes","Yes",IF(AP591="Under Process", "Under Process","No")),IF(AM591="Master",IF(AQ591="Yes","Yes",IF(AQ591="Under Process", "Under Process","No")),IF(AM591="Vacant",IF(D599="Yes","No","Vacant"),IF(AM591="NA",IF(D599="Yes","No","NA"),"No"))))))</f>
        <v>Vacant</v>
      </c>
      <c r="AU591" s="30"/>
      <c r="AV591" s="31"/>
      <c r="AW591" s="31"/>
      <c r="AX591" s="2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</row>
    <row r="592" spans="1:74" x14ac:dyDescent="0.25">
      <c r="A592" s="25">
        <v>610</v>
      </c>
      <c r="B592" s="23" t="s">
        <v>1510</v>
      </c>
      <c r="C592" s="23" t="s">
        <v>1495</v>
      </c>
      <c r="D592" s="26" t="s">
        <v>66</v>
      </c>
      <c r="E592" s="23">
        <v>14</v>
      </c>
      <c r="F592" s="23" t="s">
        <v>108</v>
      </c>
      <c r="G592" s="23">
        <f>VLOOKUP(C592,[2]Sheet2!$T$3:$V$92,3,FALSE)</f>
        <v>82</v>
      </c>
      <c r="H592" s="23" t="s">
        <v>68</v>
      </c>
      <c r="I592" s="23" t="s">
        <v>436</v>
      </c>
      <c r="J592" s="23"/>
      <c r="K592" s="6">
        <v>0</v>
      </c>
      <c r="L592" s="23"/>
      <c r="M592" s="23"/>
      <c r="N592" s="23"/>
      <c r="O592" s="23" t="e">
        <f>IF(DATEVALUE(MID(N592,15,10))-DATEVALUE(LEFT(N592,10))+1&gt;=365,"1 Year",
DATEDIF(DATEVALUE(LEFT(N592,10)),DATEVALUE(MID(N592,15,10)),"Y")&amp;" Years, "&amp;DATEDIF(DATEVALUE(LEFT(N592,10)),DATEVALUE(MID(N592,15,10)),"YM")&amp;" Months, "&amp;DATEDIF(DATEVALUE(LEFT(N592,10)),DATEVALUE(MID(N592,15,10)),"MD")&amp;" Days")</f>
        <v>#VALUE!</v>
      </c>
      <c r="P592" s="23"/>
      <c r="Q592" s="23"/>
      <c r="R592" s="27"/>
      <c r="S592" s="27"/>
      <c r="T592" s="23"/>
      <c r="U592" s="28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 t="s">
        <v>66</v>
      </c>
      <c r="AN592" s="23"/>
      <c r="AO592" s="23"/>
      <c r="AP592" s="23"/>
      <c r="AQ592" s="23"/>
      <c r="AR592" s="23"/>
      <c r="AS592" s="23" t="str">
        <f t="shared" si="107"/>
        <v>No</v>
      </c>
      <c r="AT592" s="29" t="e">
        <f>IF(AM592="Matric",IF(AN592="Yes","Yes",IF(AN592="Under Process", "Under Process","No")),IF(AM592="Inter",IF(AO592="Yes","Yes",IF(AO592="Under Process", "Under Process","No")),IF(AM592="Bachelor",IF(AP592="Yes","Yes",IF(AP592="Under Process", "Under Process","No")),IF(AM592="Master",IF(AQ592="Yes","Yes",IF(AQ592="Under Process", "Under Process","No")),IF(AM592="Vacant",IF(#REF!="Yes","No","Vacant"),IF(AM592="NA",IF(#REF!="Yes","No","NA"),"No"))))))</f>
        <v>#REF!</v>
      </c>
      <c r="AU592" s="30"/>
      <c r="AV592" s="31"/>
      <c r="AW592" s="31"/>
      <c r="AX592" s="2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</row>
    <row r="593" spans="1:74" x14ac:dyDescent="0.25">
      <c r="A593" s="25">
        <v>662</v>
      </c>
      <c r="B593" s="23" t="s">
        <v>1511</v>
      </c>
      <c r="C593" s="23" t="s">
        <v>1512</v>
      </c>
      <c r="D593" s="45" t="s">
        <v>1513</v>
      </c>
      <c r="E593" s="23">
        <v>18</v>
      </c>
      <c r="F593" s="23" t="s">
        <v>440</v>
      </c>
      <c r="G593" s="23">
        <f>VLOOKUP(C593,[2]Sheet2!$T$3:$V$92,3,FALSE)</f>
        <v>86</v>
      </c>
      <c r="H593" s="23" t="s">
        <v>54</v>
      </c>
      <c r="I593" s="23" t="s">
        <v>436</v>
      </c>
      <c r="J593" s="23"/>
      <c r="L593" s="23"/>
      <c r="M593" s="23"/>
      <c r="N593" s="23" t="s">
        <v>56</v>
      </c>
      <c r="O593" s="23" t="e">
        <f ca="1">IF(ISNUMBER(SEARCH("to", N593)),
_xlfn.LET(
    _xlpm.text_n3, N593,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93" s="23"/>
      <c r="Q593" s="23" t="s">
        <v>57</v>
      </c>
      <c r="R593" s="27"/>
      <c r="S593" s="27"/>
      <c r="T593" s="23">
        <v>10474122</v>
      </c>
      <c r="U593" s="28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 t="s">
        <v>42</v>
      </c>
      <c r="AN593" s="23" t="s">
        <v>58</v>
      </c>
      <c r="AO593" s="23" t="s">
        <v>58</v>
      </c>
      <c r="AP593" s="23" t="s">
        <v>58</v>
      </c>
      <c r="AQ593" s="23" t="s">
        <v>58</v>
      </c>
      <c r="AR593" s="23"/>
      <c r="AS593" s="23" t="str">
        <f t="shared" si="107"/>
        <v>Yes</v>
      </c>
      <c r="AT593" s="29" t="str">
        <f>IF(AM593="Matric",IF(AN593="Yes","Yes",IF(AN593="Under Process", "Under Process","No")),IF(AM593="Inter",IF(AO593="Yes","Yes",IF(AO593="Under Process", "Under Process","No")),IF(AM593="Bachelor",IF(AP593="Yes","Yes",IF(AP593="Under Process", "Under Process","No")),IF(AM593="Master",IF(AQ593="Yes","Yes",IF(AQ593="Under Process", "Under Process","No")),IF(AM593="Vacant",IF(D601="Yes","No","Vacant"),IF(AM593="NA",IF(D601="Yes","No","NA"),"No"))))))</f>
        <v>Yes</v>
      </c>
      <c r="AU593" s="30"/>
      <c r="AV593" s="31"/>
      <c r="AW593" s="31" t="s">
        <v>59</v>
      </c>
      <c r="AX593" s="2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</row>
    <row r="594" spans="1:74" x14ac:dyDescent="0.25">
      <c r="A594" s="25">
        <v>663</v>
      </c>
      <c r="B594" s="23" t="s">
        <v>1514</v>
      </c>
      <c r="C594" s="23" t="s">
        <v>1512</v>
      </c>
      <c r="D594" s="26" t="s">
        <v>1515</v>
      </c>
      <c r="E594" s="23">
        <v>17</v>
      </c>
      <c r="F594" s="23" t="s">
        <v>586</v>
      </c>
      <c r="G594" s="23">
        <f>VLOOKUP(C594,[2]Sheet2!$T$3:$V$92,3,FALSE)</f>
        <v>86</v>
      </c>
      <c r="H594" s="23" t="s">
        <v>54</v>
      </c>
      <c r="I594" s="23" t="s">
        <v>436</v>
      </c>
      <c r="J594" s="23"/>
      <c r="L594" s="23"/>
      <c r="M594" s="23"/>
      <c r="N594" s="23"/>
      <c r="O594" s="23" t="str">
        <f>IF(ISNUMBER(SEARCH("to", N594)),
_xlfn.LET(
    _xlpm.text_n3, N594,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594" s="23"/>
      <c r="Q594" s="23"/>
      <c r="R594" s="27"/>
      <c r="S594" s="27"/>
      <c r="T594" s="23"/>
      <c r="U594" s="28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 t="s">
        <v>41</v>
      </c>
      <c r="AN594" s="23"/>
      <c r="AO594" s="23"/>
      <c r="AP594" s="32" t="s">
        <v>58</v>
      </c>
      <c r="AQ594" s="23"/>
      <c r="AR594" s="23"/>
      <c r="AS594" s="23" t="str">
        <f t="shared" si="107"/>
        <v>Incomplete</v>
      </c>
      <c r="AT594" s="29" t="str">
        <f>IF(AM594="Matric",IF(AN594="Yes","Yes",IF(AN594="Under Process", "Under Process","No")),IF(AM594="Inter",IF(AO594="Yes","Yes",IF(AO594="Under Process", "Under Process","No")),IF(AM594="Bachelor",IF(AP594="Yes","Yes",IF(AP594="Under Process", "Under Process","No")),IF(AM594="Master",IF(AQ594="Yes","Yes",IF(AQ594="Under Process", "Under Process","No")),IF(AM594="Vacant",IF(D602="Yes","No","Vacant"),IF(AM594="NA",IF(D602="Yes","No","NA"),"No"))))))</f>
        <v>Yes</v>
      </c>
      <c r="AU594" s="30"/>
      <c r="AV594" s="31"/>
      <c r="AW594" s="31" t="s">
        <v>59</v>
      </c>
      <c r="AX594" s="2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</row>
    <row r="595" spans="1:74" x14ac:dyDescent="0.25">
      <c r="A595" s="25">
        <v>675</v>
      </c>
      <c r="B595" s="23" t="s">
        <v>1516</v>
      </c>
      <c r="C595" s="23" t="s">
        <v>1517</v>
      </c>
      <c r="D595" s="26" t="s">
        <v>1518</v>
      </c>
      <c r="E595" s="23">
        <v>18</v>
      </c>
      <c r="F595" s="23" t="s">
        <v>440</v>
      </c>
      <c r="G595" s="23">
        <f>VLOOKUP(C595,[2]Sheet2!$T$3:$V$92,3,FALSE)</f>
        <v>87</v>
      </c>
      <c r="H595" s="23" t="s">
        <v>54</v>
      </c>
      <c r="I595" s="23" t="s">
        <v>436</v>
      </c>
      <c r="J595" s="23"/>
      <c r="L595" s="23"/>
      <c r="M595" s="23"/>
      <c r="N595" s="23" t="s">
        <v>56</v>
      </c>
      <c r="O595" s="23" t="e">
        <f ca="1">IF(ISNUMBER(SEARCH("to", N595)),
_xlfn.LET(
    _xlpm.text_n3, N595,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95" s="23"/>
      <c r="Q595" s="23" t="s">
        <v>57</v>
      </c>
      <c r="R595" s="27"/>
      <c r="S595" s="27"/>
      <c r="T595" s="23">
        <v>10301851</v>
      </c>
      <c r="U595" s="28">
        <v>4330285828567</v>
      </c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 t="s">
        <v>42</v>
      </c>
      <c r="AN595" s="32" t="s">
        <v>58</v>
      </c>
      <c r="AO595" s="32" t="s">
        <v>58</v>
      </c>
      <c r="AP595" s="32" t="s">
        <v>58</v>
      </c>
      <c r="AQ595" s="32" t="s">
        <v>58</v>
      </c>
      <c r="AR595" s="23"/>
      <c r="AS595" s="23" t="str">
        <f t="shared" si="107"/>
        <v>Yes</v>
      </c>
      <c r="AT595" s="29" t="str">
        <f>IF(AM595="Matric",IF(AN595="Yes","Yes",IF(AN595="Under Process", "Under Process","No")),IF(AM595="Inter",IF(AO595="Yes","Yes",IF(AO595="Under Process", "Under Process","No")),IF(AM595="Bachelor",IF(AP595="Yes","Yes",IF(AP595="Under Process", "Under Process","No")),IF(AM595="Master",IF(AQ595="Yes","Yes",IF(AQ595="Under Process", "Under Process","No")),IF(AM595="Vacant",IF(D603="Yes","No","Vacant"),IF(AM595="NA",IF(D603="Yes","No","NA"),"No"))))))</f>
        <v>Yes</v>
      </c>
      <c r="AU595" s="30"/>
      <c r="AV595" s="31"/>
      <c r="AW595" s="31" t="s">
        <v>59</v>
      </c>
      <c r="AX595" s="2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</row>
    <row r="596" spans="1:74" ht="28.5" x14ac:dyDescent="0.25">
      <c r="A596" s="25">
        <v>676</v>
      </c>
      <c r="B596" s="23" t="s">
        <v>1519</v>
      </c>
      <c r="C596" s="23" t="s">
        <v>1517</v>
      </c>
      <c r="D596" s="26" t="s">
        <v>1520</v>
      </c>
      <c r="E596" s="23">
        <v>17</v>
      </c>
      <c r="F596" s="23" t="s">
        <v>586</v>
      </c>
      <c r="G596" s="23">
        <f>VLOOKUP(C596,[2]Sheet2!$T$3:$V$92,3,FALSE)</f>
        <v>87</v>
      </c>
      <c r="H596" s="23" t="s">
        <v>54</v>
      </c>
      <c r="I596" s="23" t="s">
        <v>436</v>
      </c>
      <c r="J596" s="23"/>
      <c r="L596" s="23"/>
      <c r="M596" s="23"/>
      <c r="N596" s="23" t="s">
        <v>1387</v>
      </c>
      <c r="O596" s="23" t="e">
        <f ca="1">IF(ISNUMBER(SEARCH("to", N596)),
_xlfn.LET(
    _xlpm.text_n3, N596,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>#NAME?</v>
      </c>
      <c r="P596" s="23"/>
      <c r="Q596" s="23" t="s">
        <v>57</v>
      </c>
      <c r="R596" s="27"/>
      <c r="S596" s="27"/>
      <c r="T596" s="23">
        <v>50173990</v>
      </c>
      <c r="U596" s="28">
        <v>4240137545806</v>
      </c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 t="s">
        <v>42</v>
      </c>
      <c r="AN596" s="23"/>
      <c r="AO596" s="23" t="s">
        <v>58</v>
      </c>
      <c r="AP596" s="32" t="s">
        <v>58</v>
      </c>
      <c r="AQ596" s="32" t="s">
        <v>58</v>
      </c>
      <c r="AR596" s="23"/>
      <c r="AS596" s="23" t="str">
        <f t="shared" si="107"/>
        <v>Incomplete</v>
      </c>
      <c r="AT596" s="29" t="str">
        <f>IF(AM596="Matric",IF(AN596="Yes","Yes",IF(AN596="Under Process", "Under Process","No")),IF(AM596="Inter",IF(AO596="Yes","Yes",IF(AO596="Under Process", "Under Process","No")),IF(AM596="Bachelor",IF(AP596="Yes","Yes",IF(AP596="Under Process", "Under Process","No")),IF(AM596="Master",IF(AQ596="Yes","Yes",IF(AQ596="Under Process", "Under Process","No")),IF(AM596="Vacant",IF(#REF!="Yes","No","Vacant"),IF(AM596="NA",IF(#REF!="Yes","No","NA"),"No"))))))</f>
        <v>Yes</v>
      </c>
      <c r="AU596" s="30"/>
      <c r="AV596" s="31" t="s">
        <v>64</v>
      </c>
      <c r="AW596" s="31" t="s">
        <v>59</v>
      </c>
      <c r="AX596" s="2" t="s">
        <v>64</v>
      </c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</row>
    <row r="597" spans="1:74" ht="57" x14ac:dyDescent="0.25">
      <c r="A597" s="25">
        <v>587</v>
      </c>
      <c r="B597" s="23" t="s">
        <v>1521</v>
      </c>
      <c r="C597" s="23" t="s">
        <v>1509</v>
      </c>
      <c r="D597" s="26" t="s">
        <v>1522</v>
      </c>
      <c r="E597" s="23">
        <v>16</v>
      </c>
      <c r="F597" s="23" t="s">
        <v>67</v>
      </c>
      <c r="G597" s="23">
        <f>VLOOKUP(C597,[2]Sheet2!$T$3:$V$92,3,FALSE)</f>
        <v>80</v>
      </c>
      <c r="H597" s="23" t="s">
        <v>68</v>
      </c>
      <c r="I597" s="23" t="s">
        <v>436</v>
      </c>
      <c r="J597" s="23">
        <v>2</v>
      </c>
      <c r="K597" s="6">
        <v>0.8</v>
      </c>
      <c r="L597" s="23" t="s">
        <v>1523</v>
      </c>
      <c r="M597" s="23"/>
      <c r="N597" s="23" t="s">
        <v>1524</v>
      </c>
      <c r="O597" s="23" t="str">
        <f t="shared" ref="O597:O604" si="110">IF(DATEVALUE(MID(N597,15,10))-DATEVALUE(LEFT(N597,10))+1&gt;=365,"1 Year",
DATEDIF(DATEVALUE(LEFT(N597,10)),DATEVALUE(MID(N597,15,10)),"Y")&amp;" Years, "&amp;DATEDIF(DATEVALUE(LEFT(N597,10)),DATEVALUE(MID(N597,15,10)),"YM")&amp;" Months, "&amp;DATEDIF(DATEVALUE(LEFT(N597,10)),DATEVALUE(MID(N597,15,10)),"MD")&amp;" Days")</f>
        <v>0 Years, 0 Months, 26 Days</v>
      </c>
      <c r="P597" s="23" t="s">
        <v>96</v>
      </c>
      <c r="Q597" s="23" t="s">
        <v>646</v>
      </c>
      <c r="R597" s="27"/>
      <c r="S597" s="27"/>
      <c r="T597" s="23">
        <v>50690305</v>
      </c>
      <c r="U597" s="28">
        <v>4410124357607</v>
      </c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 t="s">
        <v>42</v>
      </c>
      <c r="AN597" s="23" t="s">
        <v>58</v>
      </c>
      <c r="AO597" s="23" t="s">
        <v>58</v>
      </c>
      <c r="AP597" s="23" t="s">
        <v>58</v>
      </c>
      <c r="AQ597" s="23" t="s">
        <v>58</v>
      </c>
      <c r="AR597" s="23"/>
      <c r="AS597" s="23" t="str">
        <f t="shared" si="107"/>
        <v>Yes</v>
      </c>
      <c r="AT597" s="29" t="str">
        <f>IF(AM597="Matric",IF(AN597="Yes","Yes",IF(AN597="Under Process", "Under Process","No")),IF(AM597="Inter",IF(AO597="Yes","Yes",IF(AO597="Under Process", "Under Process","No")),IF(AM597="Bachelor",IF(AP597="Yes","Yes",IF(AP597="Under Process", "Under Process","No")),IF(AM597="Master",IF(AQ597="Yes","Yes",IF(AQ597="Under Process", "Under Process","No")),IF(AM597="Vacant",IF(D605="Yes","No","Vacant"),IF(AM597="NA",IF(D605="Yes","No","NA"),"No"))))))</f>
        <v>Yes</v>
      </c>
      <c r="AU597" s="30"/>
      <c r="AV597" s="31" t="s">
        <v>64</v>
      </c>
      <c r="AW597" s="31" t="s">
        <v>59</v>
      </c>
      <c r="AX597" s="2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</row>
    <row r="598" spans="1:74" ht="28.5" x14ac:dyDescent="0.25">
      <c r="A598" s="25">
        <v>594</v>
      </c>
      <c r="B598" s="23" t="s">
        <v>1525</v>
      </c>
      <c r="C598" s="23" t="s">
        <v>1489</v>
      </c>
      <c r="D598" s="26" t="s">
        <v>1526</v>
      </c>
      <c r="E598" s="23">
        <v>16</v>
      </c>
      <c r="F598" s="23" t="s">
        <v>67</v>
      </c>
      <c r="G598" s="23">
        <f>VLOOKUP(C598,[2]Sheet2!$T$3:$V$92,3,FALSE)</f>
        <v>81</v>
      </c>
      <c r="H598" s="23" t="s">
        <v>68</v>
      </c>
      <c r="I598" s="23" t="s">
        <v>436</v>
      </c>
      <c r="J598" s="23">
        <v>1</v>
      </c>
      <c r="K598" s="6">
        <v>0.7</v>
      </c>
      <c r="L598" s="23" t="s">
        <v>111</v>
      </c>
      <c r="M598" s="23"/>
      <c r="N598" s="23" t="s">
        <v>95</v>
      </c>
      <c r="O598" s="23" t="str">
        <f t="shared" si="110"/>
        <v>1 Year</v>
      </c>
      <c r="P598" s="23" t="s">
        <v>1527</v>
      </c>
      <c r="Q598" s="23" t="s">
        <v>646</v>
      </c>
      <c r="R598" s="27"/>
      <c r="S598" s="27"/>
      <c r="T598" s="23">
        <v>10112629</v>
      </c>
      <c r="U598" s="28">
        <v>4220105719336</v>
      </c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 t="s">
        <v>40</v>
      </c>
      <c r="AN598" s="32" t="s">
        <v>58</v>
      </c>
      <c r="AO598" s="32" t="s">
        <v>58</v>
      </c>
      <c r="AP598" s="23"/>
      <c r="AQ598" s="23"/>
      <c r="AR598" s="23"/>
      <c r="AS598" s="23" t="str">
        <f t="shared" si="107"/>
        <v>Incomplete</v>
      </c>
      <c r="AT598" s="29" t="str">
        <f>IF(AM598="Matric",IF(AN598="Yes","Yes",IF(AN598="Under Process", "Under Process","No")),IF(AM598="Inter",IF(AO598="Yes","Yes",IF(AO598="Under Process", "Under Process","No")),IF(AM598="Bachelor",IF(AP598="Yes","Yes",IF(AP598="Under Process", "Under Process","No")),IF(AM598="Master",IF(AQ598="Yes","Yes",IF(AQ598="Under Process", "Under Process","No")),IF(AM598="Vacant",IF([2]Extra!D60="Yes","No","Vacant"),IF(AM598="NA",IF([2]Extra!D60="Yes","No","NA"),"No"))))))</f>
        <v>Yes</v>
      </c>
      <c r="AU598" s="30"/>
      <c r="AV598" s="31" t="s">
        <v>64</v>
      </c>
      <c r="AW598" s="31" t="s">
        <v>59</v>
      </c>
      <c r="AX598" s="2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</row>
    <row r="599" spans="1:74" x14ac:dyDescent="0.25">
      <c r="A599" s="25">
        <v>607</v>
      </c>
      <c r="B599" s="23" t="s">
        <v>1528</v>
      </c>
      <c r="C599" s="23" t="s">
        <v>1495</v>
      </c>
      <c r="D599" s="26" t="s">
        <v>1529</v>
      </c>
      <c r="E599" s="23">
        <v>16</v>
      </c>
      <c r="F599" s="23" t="s">
        <v>67</v>
      </c>
      <c r="G599" s="23">
        <f>VLOOKUP(C599,[2]Sheet2!$T$3:$V$92,3,FALSE)</f>
        <v>82</v>
      </c>
      <c r="H599" s="23" t="s">
        <v>68</v>
      </c>
      <c r="I599" s="23" t="s">
        <v>436</v>
      </c>
      <c r="J599" s="23"/>
      <c r="K599" s="6">
        <v>0</v>
      </c>
      <c r="L599" s="23"/>
      <c r="M599" s="23"/>
      <c r="N599" s="23"/>
      <c r="O599" s="23" t="e">
        <f t="shared" si="110"/>
        <v>#VALUE!</v>
      </c>
      <c r="P599" s="23"/>
      <c r="Q599" s="23"/>
      <c r="R599" s="27"/>
      <c r="S599" s="27"/>
      <c r="T599" s="23">
        <v>10304345</v>
      </c>
      <c r="U599" s="28">
        <v>4210155766295</v>
      </c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 t="s">
        <v>40</v>
      </c>
      <c r="AN599" s="32" t="s">
        <v>58</v>
      </c>
      <c r="AO599" s="39" t="s">
        <v>58</v>
      </c>
      <c r="AP599" s="23"/>
      <c r="AQ599" s="23"/>
      <c r="AR599" s="23"/>
      <c r="AS599" s="23" t="str">
        <f t="shared" si="107"/>
        <v>Incomplete</v>
      </c>
      <c r="AT599" s="29" t="str">
        <f t="shared" ref="AT599:AT605" si="111">IF(AM599="Matric",IF(AN599="Yes","Yes",IF(AN599="Under Process", "Under Process","No")),IF(AM599="Inter",IF(AO599="Yes","Yes",IF(AO599="Under Process", "Under Process","No")),IF(AM599="Bachelor",IF(AP599="Yes","Yes",IF(AP599="Under Process", "Under Process","No")),IF(AM599="Master",IF(AQ599="Yes","Yes",IF(AQ599="Under Process", "Under Process","No")),IF(AM599="Vacant",IF(D607="Yes","No","Vacant"),IF(AM599="NA",IF(D607="Yes","No","NA"),"No"))))))</f>
        <v>Yes</v>
      </c>
      <c r="AU599" s="30"/>
      <c r="AV599" s="31"/>
      <c r="AW599" s="31"/>
      <c r="AX599" s="2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</row>
    <row r="600" spans="1:74" ht="28.5" x14ac:dyDescent="0.25">
      <c r="A600" s="25">
        <v>635</v>
      </c>
      <c r="B600" s="23" t="s">
        <v>1530</v>
      </c>
      <c r="C600" s="23" t="s">
        <v>1505</v>
      </c>
      <c r="D600" s="26" t="s">
        <v>1531</v>
      </c>
      <c r="E600" s="23">
        <v>16</v>
      </c>
      <c r="F600" s="23" t="s">
        <v>67</v>
      </c>
      <c r="G600" s="23">
        <f>VLOOKUP(C600,[2]Sheet2!$T$3:$V$92,3,FALSE)</f>
        <v>84</v>
      </c>
      <c r="H600" s="23" t="s">
        <v>68</v>
      </c>
      <c r="I600" s="23" t="s">
        <v>436</v>
      </c>
      <c r="J600" s="23">
        <v>1</v>
      </c>
      <c r="K600" s="6">
        <v>0.7</v>
      </c>
      <c r="L600" s="23" t="s">
        <v>111</v>
      </c>
      <c r="M600" s="23"/>
      <c r="N600" s="23" t="s">
        <v>95</v>
      </c>
      <c r="O600" s="23" t="str">
        <f t="shared" si="110"/>
        <v>1 Year</v>
      </c>
      <c r="P600" s="23" t="s">
        <v>515</v>
      </c>
      <c r="Q600" s="23" t="s">
        <v>646</v>
      </c>
      <c r="R600" s="27"/>
      <c r="S600" s="27"/>
      <c r="T600" s="23">
        <v>10112485</v>
      </c>
      <c r="U600" s="28">
        <v>4200005596475</v>
      </c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 t="s">
        <v>41</v>
      </c>
      <c r="AN600" s="23" t="s">
        <v>58</v>
      </c>
      <c r="AO600" s="23" t="s">
        <v>58</v>
      </c>
      <c r="AP600" s="23" t="s">
        <v>58</v>
      </c>
      <c r="AQ600" s="23"/>
      <c r="AR600" s="23"/>
      <c r="AS600" s="23" t="str">
        <f t="shared" si="107"/>
        <v>Yes</v>
      </c>
      <c r="AT600" s="29" t="str">
        <f t="shared" si="111"/>
        <v>Yes</v>
      </c>
      <c r="AU600" s="30"/>
      <c r="AV600" s="31" t="s">
        <v>64</v>
      </c>
      <c r="AW600" s="31" t="s">
        <v>59</v>
      </c>
      <c r="AX600" s="2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</row>
    <row r="601" spans="1:74" ht="57" x14ac:dyDescent="0.25">
      <c r="A601" s="25">
        <v>650</v>
      </c>
      <c r="B601" s="23" t="s">
        <v>1532</v>
      </c>
      <c r="C601" s="23" t="s">
        <v>1533</v>
      </c>
      <c r="D601" s="26" t="s">
        <v>1534</v>
      </c>
      <c r="E601" s="23">
        <v>16</v>
      </c>
      <c r="F601" s="23" t="s">
        <v>67</v>
      </c>
      <c r="G601" s="23">
        <f>VLOOKUP(C601,[2]Sheet2!$T$3:$V$92,3,FALSE)</f>
        <v>85</v>
      </c>
      <c r="H601" s="23" t="s">
        <v>68</v>
      </c>
      <c r="I601" s="23" t="s">
        <v>436</v>
      </c>
      <c r="J601" s="23">
        <v>1</v>
      </c>
      <c r="K601" s="6">
        <v>0.7</v>
      </c>
      <c r="L601" s="23" t="s">
        <v>111</v>
      </c>
      <c r="M601" s="23"/>
      <c r="N601" s="23" t="s">
        <v>1535</v>
      </c>
      <c r="O601" s="23" t="str">
        <f t="shared" si="110"/>
        <v>0 Years, 7 Months, 23 Days</v>
      </c>
      <c r="P601" s="23" t="s">
        <v>1536</v>
      </c>
      <c r="Q601" s="23" t="s">
        <v>646</v>
      </c>
      <c r="R601" s="27"/>
      <c r="S601" s="27"/>
      <c r="T601" s="23">
        <v>10112489</v>
      </c>
      <c r="U601" s="28">
        <v>4250190333319</v>
      </c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 t="s">
        <v>42</v>
      </c>
      <c r="AN601" s="32" t="s">
        <v>58</v>
      </c>
      <c r="AO601" s="32" t="s">
        <v>58</v>
      </c>
      <c r="AP601" s="32" t="s">
        <v>58</v>
      </c>
      <c r="AQ601" s="32" t="s">
        <v>58</v>
      </c>
      <c r="AR601" s="23"/>
      <c r="AS601" s="23" t="str">
        <f t="shared" si="107"/>
        <v>Yes</v>
      </c>
      <c r="AT601" s="29" t="str">
        <f t="shared" si="111"/>
        <v>Yes</v>
      </c>
      <c r="AU601" s="30"/>
      <c r="AV601" s="31" t="s">
        <v>64</v>
      </c>
      <c r="AW601" s="31"/>
      <c r="AX601" s="2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</row>
    <row r="602" spans="1:74" ht="28.5" x14ac:dyDescent="0.25">
      <c r="A602" s="25">
        <v>664</v>
      </c>
      <c r="B602" s="23" t="s">
        <v>1537</v>
      </c>
      <c r="C602" s="23" t="s">
        <v>1512</v>
      </c>
      <c r="D602" s="26" t="s">
        <v>1538</v>
      </c>
      <c r="E602" s="23">
        <v>16</v>
      </c>
      <c r="F602" s="23" t="s">
        <v>67</v>
      </c>
      <c r="G602" s="23">
        <f>VLOOKUP(C602,[2]Sheet2!$T$3:$V$92,3,FALSE)</f>
        <v>86</v>
      </c>
      <c r="H602" s="23" t="s">
        <v>68</v>
      </c>
      <c r="I602" s="23" t="s">
        <v>436</v>
      </c>
      <c r="J602" s="23">
        <v>3</v>
      </c>
      <c r="K602" s="6">
        <v>0.6</v>
      </c>
      <c r="L602" s="23" t="s">
        <v>1539</v>
      </c>
      <c r="M602" s="23"/>
      <c r="N602" s="23" t="s">
        <v>1540</v>
      </c>
      <c r="O602" s="23" t="e">
        <f t="shared" si="110"/>
        <v>#VALUE!</v>
      </c>
      <c r="P602" s="23" t="s">
        <v>1010</v>
      </c>
      <c r="Q602" s="23" t="s">
        <v>1541</v>
      </c>
      <c r="R602" s="27"/>
      <c r="S602" s="27"/>
      <c r="T602" s="23">
        <v>10304346</v>
      </c>
      <c r="U602" s="28">
        <v>4520302633139</v>
      </c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 t="s">
        <v>41</v>
      </c>
      <c r="AN602" s="23"/>
      <c r="AO602" s="23"/>
      <c r="AP602" s="23" t="s">
        <v>58</v>
      </c>
      <c r="AQ602" s="23"/>
      <c r="AR602" s="23"/>
      <c r="AS602" s="23" t="str">
        <f t="shared" si="107"/>
        <v>Incomplete</v>
      </c>
      <c r="AT602" s="29" t="str">
        <f t="shared" si="111"/>
        <v>Yes</v>
      </c>
      <c r="AU602" s="30"/>
      <c r="AV602" s="31" t="s">
        <v>64</v>
      </c>
      <c r="AW602" s="31" t="s">
        <v>59</v>
      </c>
      <c r="AX602" s="2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</row>
    <row r="603" spans="1:74" x14ac:dyDescent="0.25">
      <c r="A603" s="25">
        <v>677</v>
      </c>
      <c r="B603" s="23" t="s">
        <v>1542</v>
      </c>
      <c r="C603" s="23" t="s">
        <v>1517</v>
      </c>
      <c r="D603" s="26" t="s">
        <v>1543</v>
      </c>
      <c r="E603" s="23">
        <v>16</v>
      </c>
      <c r="F603" s="23" t="s">
        <v>67</v>
      </c>
      <c r="G603" s="23">
        <f>VLOOKUP(C603,[2]Sheet2!$T$3:$V$92,3,FALSE)</f>
        <v>87</v>
      </c>
      <c r="H603" s="23" t="s">
        <v>68</v>
      </c>
      <c r="I603" s="23" t="s">
        <v>436</v>
      </c>
      <c r="J603" s="23">
        <v>3</v>
      </c>
      <c r="K603" s="6">
        <v>0.7</v>
      </c>
      <c r="L603" s="23" t="s">
        <v>1544</v>
      </c>
      <c r="M603" s="23"/>
      <c r="N603" s="23"/>
      <c r="O603" s="23" t="e">
        <f t="shared" si="110"/>
        <v>#VALUE!</v>
      </c>
      <c r="P603" s="23"/>
      <c r="Q603" s="23"/>
      <c r="R603" s="27"/>
      <c r="S603" s="27"/>
      <c r="T603" s="23">
        <v>10112233</v>
      </c>
      <c r="U603" s="28">
        <v>4210119080895</v>
      </c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 t="s">
        <v>41</v>
      </c>
      <c r="AN603" s="23" t="s">
        <v>58</v>
      </c>
      <c r="AO603" s="23" t="s">
        <v>58</v>
      </c>
      <c r="AP603" s="23" t="s">
        <v>58</v>
      </c>
      <c r="AQ603" s="23"/>
      <c r="AR603" s="23"/>
      <c r="AS603" s="23" t="str">
        <f t="shared" si="107"/>
        <v>Yes</v>
      </c>
      <c r="AT603" s="29" t="str">
        <f t="shared" si="111"/>
        <v>Yes</v>
      </c>
      <c r="AU603" s="30"/>
      <c r="AV603" s="31" t="s">
        <v>64</v>
      </c>
      <c r="AW603" s="31" t="s">
        <v>59</v>
      </c>
      <c r="AX603" s="2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</row>
    <row r="604" spans="1:74" x14ac:dyDescent="0.25">
      <c r="A604" s="25">
        <v>621</v>
      </c>
      <c r="B604" s="23" t="s">
        <v>1545</v>
      </c>
      <c r="C604" s="23" t="s">
        <v>1478</v>
      </c>
      <c r="D604" s="26" t="s">
        <v>1546</v>
      </c>
      <c r="E604" s="23">
        <v>15</v>
      </c>
      <c r="F604" s="23" t="s">
        <v>108</v>
      </c>
      <c r="G604" s="23">
        <f>VLOOKUP(C604,[2]Sheet2!$T$3:$V$92,3,FALSE)</f>
        <v>79</v>
      </c>
      <c r="H604" s="23" t="s">
        <v>68</v>
      </c>
      <c r="I604" s="23" t="s">
        <v>436</v>
      </c>
      <c r="J604" s="23">
        <v>1</v>
      </c>
      <c r="K604" s="6">
        <v>0.7</v>
      </c>
      <c r="L604" s="23" t="s">
        <v>1547</v>
      </c>
      <c r="M604" s="23"/>
      <c r="N604" s="23"/>
      <c r="O604" s="23" t="e">
        <f t="shared" si="110"/>
        <v>#VALUE!</v>
      </c>
      <c r="P604" s="23"/>
      <c r="Q604" s="23"/>
      <c r="R604" s="27"/>
      <c r="S604" s="27"/>
      <c r="T604" s="23">
        <v>50174211</v>
      </c>
      <c r="U604" s="28">
        <v>4220138803869</v>
      </c>
      <c r="V604" s="23">
        <v>30707</v>
      </c>
      <c r="W604" s="23" t="s">
        <v>337</v>
      </c>
      <c r="X604" s="23" t="s">
        <v>338</v>
      </c>
      <c r="Y604" s="23" t="s">
        <v>188</v>
      </c>
      <c r="Z604" s="23">
        <v>41365</v>
      </c>
      <c r="AA604" s="23">
        <v>41365</v>
      </c>
      <c r="AB604" s="23" t="s">
        <v>339</v>
      </c>
      <c r="AC604" s="23" t="s">
        <v>189</v>
      </c>
      <c r="AD604" s="23"/>
      <c r="AE604" s="23"/>
      <c r="AF604" s="23"/>
      <c r="AG604" s="23"/>
      <c r="AH604" s="23"/>
      <c r="AI604" s="23">
        <v>44927</v>
      </c>
      <c r="AJ604" s="23" t="s">
        <v>1548</v>
      </c>
      <c r="AK604" s="23" t="s">
        <v>1549</v>
      </c>
      <c r="AL604" s="23">
        <v>44927</v>
      </c>
      <c r="AM604" s="23" t="s">
        <v>41</v>
      </c>
      <c r="AN604" s="32" t="s">
        <v>58</v>
      </c>
      <c r="AO604" s="32" t="s">
        <v>58</v>
      </c>
      <c r="AP604" s="32" t="s">
        <v>58</v>
      </c>
      <c r="AQ604" s="23"/>
      <c r="AR604" s="23"/>
      <c r="AS604" s="23" t="str">
        <f t="shared" si="107"/>
        <v>Yes</v>
      </c>
      <c r="AT604" s="29" t="str">
        <f t="shared" si="111"/>
        <v>Yes</v>
      </c>
      <c r="AU604" s="30"/>
      <c r="AV604" s="31" t="s">
        <v>64</v>
      </c>
      <c r="AW604" s="31"/>
      <c r="AX604" s="2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</row>
    <row r="605" spans="1:74" x14ac:dyDescent="0.25">
      <c r="A605" s="25">
        <v>648</v>
      </c>
      <c r="B605" s="23" t="s">
        <v>1550</v>
      </c>
      <c r="C605" s="23" t="s">
        <v>1533</v>
      </c>
      <c r="D605" s="26" t="s">
        <v>66</v>
      </c>
      <c r="E605" s="23">
        <v>18</v>
      </c>
      <c r="F605" s="23" t="s">
        <v>1230</v>
      </c>
      <c r="G605" s="23">
        <f>VLOOKUP(C605,[2]Sheet2!$T$3:$V$92,3,FALSE)</f>
        <v>85</v>
      </c>
      <c r="H605" s="23" t="s">
        <v>54</v>
      </c>
      <c r="I605" s="23" t="s">
        <v>436</v>
      </c>
      <c r="J605" s="23"/>
      <c r="L605" s="23"/>
      <c r="M605" s="23"/>
      <c r="N605" s="23"/>
      <c r="O605" s="23" t="str">
        <f>IF(ISNUMBER(SEARCH("to", N605)),
_xlfn.LET(
    _xlpm.first_line, LEFT(N605, IFERROR(SEARCH(CHAR(10), N605)-1, LEN(N605))),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605" s="23"/>
      <c r="Q605" s="23"/>
      <c r="R605" s="27"/>
      <c r="S605" s="27"/>
      <c r="T605" s="23"/>
      <c r="U605" s="28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 t="s">
        <v>66</v>
      </c>
      <c r="AN605" s="23"/>
      <c r="AO605" s="23"/>
      <c r="AP605" s="23"/>
      <c r="AQ605" s="23"/>
      <c r="AR605" s="23"/>
      <c r="AS605" s="23" t="str">
        <f t="shared" si="107"/>
        <v>No</v>
      </c>
      <c r="AT605" s="29" t="str">
        <f t="shared" si="111"/>
        <v>Vacant</v>
      </c>
      <c r="AU605" s="30"/>
      <c r="AV605" s="31"/>
      <c r="AW605" s="31"/>
      <c r="AX605" s="2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</row>
    <row r="606" spans="1:74" ht="28.5" x14ac:dyDescent="0.25">
      <c r="A606" s="25">
        <v>595</v>
      </c>
      <c r="B606" s="23" t="s">
        <v>1551</v>
      </c>
      <c r="C606" s="23" t="s">
        <v>1489</v>
      </c>
      <c r="D606" s="26" t="s">
        <v>1552</v>
      </c>
      <c r="E606" s="23">
        <v>15</v>
      </c>
      <c r="F606" s="23" t="s">
        <v>108</v>
      </c>
      <c r="G606" s="23">
        <f>VLOOKUP(C606,[2]Sheet2!$T$3:$V$92,3,FALSE)</f>
        <v>81</v>
      </c>
      <c r="H606" s="23" t="s">
        <v>68</v>
      </c>
      <c r="I606" s="23" t="s">
        <v>436</v>
      </c>
      <c r="J606" s="23">
        <v>3</v>
      </c>
      <c r="K606" s="6">
        <v>0.73</v>
      </c>
      <c r="L606" s="23" t="s">
        <v>1553</v>
      </c>
      <c r="M606" s="23"/>
      <c r="N606" s="23" t="s">
        <v>95</v>
      </c>
      <c r="O606" s="23" t="str">
        <f t="shared" ref="O606:O616" si="112">IF(DATEVALUE(MID(N606,15,10))-DATEVALUE(LEFT(N606,10))+1&gt;=365,"1 Year",
DATEDIF(DATEVALUE(LEFT(N606,10)),DATEVALUE(MID(N606,15,10)),"Y")&amp;" Years, "&amp;DATEDIF(DATEVALUE(LEFT(N606,10)),DATEVALUE(MID(N606,15,10)),"YM")&amp;" Months, "&amp;DATEDIF(DATEVALUE(LEFT(N606,10)),DATEVALUE(MID(N606,15,10)),"MD")&amp;" Days")</f>
        <v>1 Year</v>
      </c>
      <c r="P606" s="23" t="s">
        <v>1010</v>
      </c>
      <c r="Q606" s="23" t="s">
        <v>646</v>
      </c>
      <c r="R606" s="27"/>
      <c r="S606" s="27"/>
      <c r="T606" s="23">
        <v>50192000</v>
      </c>
      <c r="U606" s="28">
        <v>4250129036832</v>
      </c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 t="s">
        <v>42</v>
      </c>
      <c r="AN606" s="23"/>
      <c r="AO606" s="23"/>
      <c r="AP606" s="32" t="s">
        <v>58</v>
      </c>
      <c r="AQ606" s="32" t="s">
        <v>58</v>
      </c>
      <c r="AR606" s="23"/>
      <c r="AS606" s="23" t="str">
        <f t="shared" si="107"/>
        <v>Incomplete</v>
      </c>
      <c r="AT606" s="29" t="str">
        <f>IF(AM606="Matric",IF(AN606="Yes","Yes",IF(AN606="Under Process", "Under Process","No")),IF(AM606="Inter",IF(AO606="Yes","Yes",IF(AO606="Under Process", "Under Process","No")),IF(AM606="Bachelor",IF(AP606="Yes","Yes",IF(AP606="Under Process", "Under Process","No")),IF(AM606="Master",IF(AQ606="Yes","Yes",IF(AQ606="Under Process", "Under Process","No")),IF(AM606="Vacant",IF(D613="Yes","No","Vacant"),IF(AM606="NA",IF(D613="Yes","No","NA"),"No"))))))</f>
        <v>Yes</v>
      </c>
      <c r="AU606" s="30"/>
      <c r="AV606" s="31" t="s">
        <v>64</v>
      </c>
      <c r="AW606" s="31" t="s">
        <v>59</v>
      </c>
      <c r="AX606" s="2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</row>
    <row r="607" spans="1:74" ht="28.5" x14ac:dyDescent="0.25">
      <c r="A607" s="25">
        <v>596</v>
      </c>
      <c r="B607" s="23" t="s">
        <v>1554</v>
      </c>
      <c r="C607" s="23" t="s">
        <v>1489</v>
      </c>
      <c r="D607" s="26" t="s">
        <v>1555</v>
      </c>
      <c r="E607" s="23">
        <v>15</v>
      </c>
      <c r="F607" s="23" t="s">
        <v>108</v>
      </c>
      <c r="G607" s="23">
        <f>VLOOKUP(C607,[2]Sheet2!$T$3:$V$92,3,FALSE)</f>
        <v>81</v>
      </c>
      <c r="H607" s="23" t="s">
        <v>68</v>
      </c>
      <c r="I607" s="23" t="s">
        <v>436</v>
      </c>
      <c r="J607" s="23">
        <v>3</v>
      </c>
      <c r="K607" s="6">
        <v>0.8</v>
      </c>
      <c r="L607" s="23" t="s">
        <v>1556</v>
      </c>
      <c r="M607" s="23"/>
      <c r="N607" s="23" t="s">
        <v>1557</v>
      </c>
      <c r="O607" s="23" t="str">
        <f t="shared" si="112"/>
        <v>0 Years, 5 Months, 30 Days</v>
      </c>
      <c r="P607" s="23" t="s">
        <v>1558</v>
      </c>
      <c r="Q607" s="23" t="s">
        <v>646</v>
      </c>
      <c r="R607" s="27"/>
      <c r="S607" s="27"/>
      <c r="T607" s="23">
        <v>50181215</v>
      </c>
      <c r="U607" s="28">
        <v>4210134242033</v>
      </c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 t="s">
        <v>42</v>
      </c>
      <c r="AN607" s="23" t="s">
        <v>58</v>
      </c>
      <c r="AO607" s="23" t="s">
        <v>58</v>
      </c>
      <c r="AP607" s="32" t="s">
        <v>58</v>
      </c>
      <c r="AQ607" s="32" t="s">
        <v>58</v>
      </c>
      <c r="AR607" s="23"/>
      <c r="AS607" s="23" t="str">
        <f t="shared" si="107"/>
        <v>Yes</v>
      </c>
      <c r="AT607" s="29" t="str">
        <f>IF(AM607="Matric",IF(AN607="Yes","Yes",IF(AN607="Under Process", "Under Process","No")),IF(AM607="Inter",IF(AO607="Yes","Yes",IF(AO607="Under Process", "Under Process","No")),IF(AM607="Bachelor",IF(AP607="Yes","Yes",IF(AP607="Under Process", "Under Process","No")),IF(AM607="Master",IF(AQ607="Yes","Yes",IF(AQ607="Under Process", "Under Process","No")),IF(AM607="Vacant",IF(D614="Yes","No","Vacant"),IF(AM607="NA",IF(D614="Yes","No","NA"),"No"))))))</f>
        <v>Yes</v>
      </c>
      <c r="AU607" s="30"/>
      <c r="AV607" s="31" t="s">
        <v>64</v>
      </c>
      <c r="AW607" s="31" t="s">
        <v>59</v>
      </c>
      <c r="AX607" s="2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</row>
    <row r="608" spans="1:74" x14ac:dyDescent="0.25">
      <c r="A608" s="25">
        <v>608</v>
      </c>
      <c r="B608" s="23" t="s">
        <v>1559</v>
      </c>
      <c r="C608" s="23" t="s">
        <v>1495</v>
      </c>
      <c r="D608" s="26" t="s">
        <v>1560</v>
      </c>
      <c r="E608" s="23">
        <v>15</v>
      </c>
      <c r="F608" s="23" t="s">
        <v>108</v>
      </c>
      <c r="G608" s="23">
        <f>VLOOKUP(C608,[2]Sheet2!$T$3:$V$92,3,FALSE)</f>
        <v>82</v>
      </c>
      <c r="H608" s="23" t="s">
        <v>68</v>
      </c>
      <c r="I608" s="23" t="s">
        <v>436</v>
      </c>
      <c r="J608" s="23">
        <v>1</v>
      </c>
      <c r="K608" s="6">
        <v>0.7</v>
      </c>
      <c r="L608" s="23" t="s">
        <v>1561</v>
      </c>
      <c r="M608" s="23"/>
      <c r="N608" s="23"/>
      <c r="O608" s="23" t="e">
        <f t="shared" si="112"/>
        <v>#VALUE!</v>
      </c>
      <c r="P608" s="23"/>
      <c r="Q608" s="23"/>
      <c r="R608" s="27"/>
      <c r="S608" s="27"/>
      <c r="T608" s="23">
        <v>50699385</v>
      </c>
      <c r="U608" s="28">
        <v>4220199390681</v>
      </c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 t="s">
        <v>41</v>
      </c>
      <c r="AN608" s="32" t="s">
        <v>58</v>
      </c>
      <c r="AO608" s="32" t="s">
        <v>58</v>
      </c>
      <c r="AP608" s="32" t="s">
        <v>58</v>
      </c>
      <c r="AQ608" s="23"/>
      <c r="AR608" s="23" t="s">
        <v>1562</v>
      </c>
      <c r="AS608" s="23" t="str">
        <f t="shared" si="107"/>
        <v>Yes</v>
      </c>
      <c r="AT608" s="29" t="str">
        <f t="shared" ref="AT608:AT614" si="113">IF(AM608="Matric",IF(AN608="Yes","Yes",IF(AN608="Under Process", "Under Process","No")),IF(AM608="Inter",IF(AO608="Yes","Yes",IF(AO608="Under Process", "Under Process","No")),IF(AM608="Bachelor",IF(AP608="Yes","Yes",IF(AP608="Under Process", "Under Process","No")),IF(AM608="Master",IF(AQ608="Yes","Yes",IF(AQ608="Under Process", "Under Process","No")),IF(AM608="Vacant",IF(D616="Yes","No","Vacant"),IF(AM608="NA",IF(D616="Yes","No","NA"),"No"))))))</f>
        <v>Yes</v>
      </c>
      <c r="AU608" s="30"/>
      <c r="AV608" s="31" t="s">
        <v>64</v>
      </c>
      <c r="AW608" s="31" t="s">
        <v>59</v>
      </c>
      <c r="AX608" s="2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</row>
    <row r="609" spans="1:74" x14ac:dyDescent="0.25">
      <c r="A609" s="25">
        <v>622</v>
      </c>
      <c r="B609" s="23" t="s">
        <v>1563</v>
      </c>
      <c r="C609" s="23" t="s">
        <v>1499</v>
      </c>
      <c r="D609" s="26" t="s">
        <v>498</v>
      </c>
      <c r="E609" s="23">
        <v>15</v>
      </c>
      <c r="F609" s="23" t="s">
        <v>67</v>
      </c>
      <c r="G609" s="23">
        <f>VLOOKUP(C609,[2]Sheet2!$T$3:$V$92,3,FALSE)</f>
        <v>83</v>
      </c>
      <c r="H609" s="23" t="s">
        <v>68</v>
      </c>
      <c r="I609" s="23" t="s">
        <v>436</v>
      </c>
      <c r="J609" s="23">
        <v>3</v>
      </c>
      <c r="K609" s="6">
        <v>0.7</v>
      </c>
      <c r="L609" s="23" t="s">
        <v>1564</v>
      </c>
      <c r="M609" s="23"/>
      <c r="N609" s="23"/>
      <c r="O609" s="23" t="e">
        <f t="shared" si="112"/>
        <v>#VALUE!</v>
      </c>
      <c r="P609" s="23"/>
      <c r="Q609" s="23"/>
      <c r="R609" s="27"/>
      <c r="S609" s="27"/>
      <c r="T609" s="23">
        <v>50185972</v>
      </c>
      <c r="U609" s="28">
        <v>4210176851073</v>
      </c>
      <c r="V609" s="23">
        <v>31412</v>
      </c>
      <c r="W609" s="23" t="s">
        <v>337</v>
      </c>
      <c r="X609" s="23" t="s">
        <v>338</v>
      </c>
      <c r="Y609" s="23" t="s">
        <v>188</v>
      </c>
      <c r="Z609" s="23">
        <v>41449</v>
      </c>
      <c r="AA609" s="23">
        <v>41449</v>
      </c>
      <c r="AB609" s="23" t="s">
        <v>1565</v>
      </c>
      <c r="AC609" s="23" t="s">
        <v>189</v>
      </c>
      <c r="AD609" s="23"/>
      <c r="AE609" s="23"/>
      <c r="AF609" s="23"/>
      <c r="AG609" s="23"/>
      <c r="AH609" s="23"/>
      <c r="AI609" s="23">
        <v>45638</v>
      </c>
      <c r="AJ609" s="23" t="s">
        <v>1566</v>
      </c>
      <c r="AK609" s="23" t="s">
        <v>1567</v>
      </c>
      <c r="AL609" s="23">
        <v>45273</v>
      </c>
      <c r="AM609" s="23" t="s">
        <v>41</v>
      </c>
      <c r="AN609" s="32" t="s">
        <v>58</v>
      </c>
      <c r="AO609" s="39" t="s">
        <v>58</v>
      </c>
      <c r="AP609" s="32" t="s">
        <v>58</v>
      </c>
      <c r="AQ609" s="23"/>
      <c r="AR609" s="23"/>
      <c r="AS609" s="23" t="str">
        <f t="shared" si="107"/>
        <v>Yes</v>
      </c>
      <c r="AT609" s="29" t="str">
        <f t="shared" si="113"/>
        <v>Yes</v>
      </c>
      <c r="AU609" s="30"/>
      <c r="AV609" s="31" t="s">
        <v>64</v>
      </c>
      <c r="AW609" s="31"/>
      <c r="AX609" s="2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</row>
    <row r="610" spans="1:74" x14ac:dyDescent="0.25">
      <c r="A610" s="25">
        <v>579</v>
      </c>
      <c r="B610" s="23" t="s">
        <v>1568</v>
      </c>
      <c r="C610" s="23" t="s">
        <v>1499</v>
      </c>
      <c r="D610" s="26" t="s">
        <v>1569</v>
      </c>
      <c r="E610" s="23">
        <v>15</v>
      </c>
      <c r="F610" s="23" t="s">
        <v>108</v>
      </c>
      <c r="G610" s="23">
        <f>VLOOKUP(C610,[2]Sheet2!$T$3:$V$92,3,FALSE)</f>
        <v>83</v>
      </c>
      <c r="H610" s="23" t="s">
        <v>68</v>
      </c>
      <c r="I610" s="23" t="s">
        <v>436</v>
      </c>
      <c r="J610" s="23">
        <v>3</v>
      </c>
      <c r="K610" s="6">
        <v>0.72</v>
      </c>
      <c r="L610" s="23" t="s">
        <v>1570</v>
      </c>
      <c r="M610" s="23"/>
      <c r="N610" s="23"/>
      <c r="O610" s="23" t="e">
        <f t="shared" si="112"/>
        <v>#VALUE!</v>
      </c>
      <c r="P610" s="23"/>
      <c r="Q610" s="23"/>
      <c r="R610" s="27"/>
      <c r="S610" s="27"/>
      <c r="T610" s="23">
        <v>50173999</v>
      </c>
      <c r="U610" s="28">
        <v>4230107037461</v>
      </c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 t="s">
        <v>41</v>
      </c>
      <c r="AN610" s="23" t="s">
        <v>58</v>
      </c>
      <c r="AO610" s="23" t="s">
        <v>58</v>
      </c>
      <c r="AP610" s="32" t="s">
        <v>58</v>
      </c>
      <c r="AQ610" s="23"/>
      <c r="AR610" s="23"/>
      <c r="AS610" s="23" t="str">
        <f t="shared" si="107"/>
        <v>Yes</v>
      </c>
      <c r="AT610" s="29" t="str">
        <f t="shared" si="113"/>
        <v>Yes</v>
      </c>
      <c r="AU610" s="30"/>
      <c r="AV610" s="31" t="s">
        <v>64</v>
      </c>
      <c r="AW610" s="31" t="s">
        <v>59</v>
      </c>
      <c r="AX610" s="2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</row>
    <row r="611" spans="1:74" x14ac:dyDescent="0.25">
      <c r="A611" s="25">
        <v>620</v>
      </c>
      <c r="B611" s="23" t="s">
        <v>1571</v>
      </c>
      <c r="C611" s="23" t="s">
        <v>1499</v>
      </c>
      <c r="D611" s="26" t="s">
        <v>1572</v>
      </c>
      <c r="E611" s="23">
        <v>15</v>
      </c>
      <c r="F611" s="23" t="s">
        <v>108</v>
      </c>
      <c r="G611" s="23">
        <f>VLOOKUP(C611,[2]Sheet2!$T$3:$V$92,3,FALSE)</f>
        <v>83</v>
      </c>
      <c r="H611" s="23" t="s">
        <v>68</v>
      </c>
      <c r="I611" s="23" t="s">
        <v>436</v>
      </c>
      <c r="J611" s="23">
        <v>2</v>
      </c>
      <c r="K611" s="6">
        <v>0.8</v>
      </c>
      <c r="L611" s="23" t="s">
        <v>1573</v>
      </c>
      <c r="M611" s="23"/>
      <c r="N611" s="23"/>
      <c r="O611" s="23" t="e">
        <f t="shared" si="112"/>
        <v>#VALUE!</v>
      </c>
      <c r="P611" s="23"/>
      <c r="Q611" s="23"/>
      <c r="R611" s="27"/>
      <c r="S611" s="27"/>
      <c r="T611" s="23">
        <v>50187596</v>
      </c>
      <c r="U611" s="28">
        <v>4210114083525</v>
      </c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 t="s">
        <v>41</v>
      </c>
      <c r="AN611" s="23"/>
      <c r="AO611" s="23"/>
      <c r="AP611" s="32" t="s">
        <v>58</v>
      </c>
      <c r="AQ611" s="23"/>
      <c r="AR611" s="23"/>
      <c r="AS611" s="23" t="str">
        <f t="shared" si="107"/>
        <v>Incomplete</v>
      </c>
      <c r="AT611" s="29" t="str">
        <f t="shared" si="113"/>
        <v>Yes</v>
      </c>
      <c r="AU611" s="30"/>
      <c r="AV611" s="31" t="s">
        <v>64</v>
      </c>
      <c r="AW611" s="31"/>
      <c r="AX611" s="2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</row>
    <row r="612" spans="1:74" ht="57" x14ac:dyDescent="0.25">
      <c r="A612" s="25">
        <v>636</v>
      </c>
      <c r="B612" s="23" t="s">
        <v>1574</v>
      </c>
      <c r="C612" s="23" t="s">
        <v>1505</v>
      </c>
      <c r="D612" s="26" t="s">
        <v>1575</v>
      </c>
      <c r="E612" s="23">
        <v>15</v>
      </c>
      <c r="F612" s="23" t="s">
        <v>108</v>
      </c>
      <c r="G612" s="23">
        <f>VLOOKUP(C612,[2]Sheet2!$T$3:$V$92,3,FALSE)</f>
        <v>84</v>
      </c>
      <c r="H612" s="23" t="s">
        <v>68</v>
      </c>
      <c r="I612" s="23" t="s">
        <v>436</v>
      </c>
      <c r="J612" s="23">
        <v>2</v>
      </c>
      <c r="K612" s="6">
        <v>0.7</v>
      </c>
      <c r="L612" s="23" t="s">
        <v>1576</v>
      </c>
      <c r="M612" s="23"/>
      <c r="N612" s="23" t="s">
        <v>1577</v>
      </c>
      <c r="O612" s="23" t="str">
        <f t="shared" si="112"/>
        <v>0 Years, 1 Months, 30 Days</v>
      </c>
      <c r="P612" s="23" t="s">
        <v>1578</v>
      </c>
      <c r="Q612" s="23" t="s">
        <v>646</v>
      </c>
      <c r="R612" s="27"/>
      <c r="S612" s="27"/>
      <c r="T612" s="23">
        <v>10304348</v>
      </c>
      <c r="U612" s="28">
        <v>4220107371979</v>
      </c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 t="s">
        <v>41</v>
      </c>
      <c r="AN612" s="32" t="s">
        <v>58</v>
      </c>
      <c r="AO612" s="32" t="s">
        <v>58</v>
      </c>
      <c r="AP612" s="32" t="s">
        <v>58</v>
      </c>
      <c r="AQ612" s="23"/>
      <c r="AR612" s="23"/>
      <c r="AS612" s="23" t="str">
        <f t="shared" si="107"/>
        <v>Yes</v>
      </c>
      <c r="AT612" s="29" t="str">
        <f t="shared" si="113"/>
        <v>Yes</v>
      </c>
      <c r="AU612" s="30"/>
      <c r="AV612" s="31" t="s">
        <v>64</v>
      </c>
      <c r="AW612" s="31" t="s">
        <v>59</v>
      </c>
      <c r="AX612" s="2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</row>
    <row r="613" spans="1:74" x14ac:dyDescent="0.25">
      <c r="A613" s="25">
        <v>678</v>
      </c>
      <c r="B613" s="23" t="s">
        <v>1579</v>
      </c>
      <c r="C613" s="23" t="s">
        <v>1517</v>
      </c>
      <c r="D613" s="26" t="s">
        <v>1580</v>
      </c>
      <c r="E613" s="23">
        <v>15</v>
      </c>
      <c r="F613" s="23" t="s">
        <v>108</v>
      </c>
      <c r="G613" s="23">
        <f>VLOOKUP(C613,[2]Sheet2!$T$3:$V$92,3,FALSE)</f>
        <v>87</v>
      </c>
      <c r="H613" s="23" t="s">
        <v>68</v>
      </c>
      <c r="I613" s="23" t="s">
        <v>436</v>
      </c>
      <c r="J613" s="23">
        <v>1</v>
      </c>
      <c r="K613" s="6">
        <v>0.7</v>
      </c>
      <c r="L613" s="23" t="s">
        <v>111</v>
      </c>
      <c r="M613" s="23"/>
      <c r="N613" s="23"/>
      <c r="O613" s="23" t="e">
        <f t="shared" si="112"/>
        <v>#VALUE!</v>
      </c>
      <c r="P613" s="23"/>
      <c r="Q613" s="23"/>
      <c r="R613" s="27"/>
      <c r="S613" s="27"/>
      <c r="T613" s="23">
        <v>50174715</v>
      </c>
      <c r="U613" s="28">
        <v>4110451102801</v>
      </c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 t="s">
        <v>41</v>
      </c>
      <c r="AN613" s="23" t="s">
        <v>58</v>
      </c>
      <c r="AO613" s="23" t="s">
        <v>58</v>
      </c>
      <c r="AP613" s="23" t="s">
        <v>58</v>
      </c>
      <c r="AQ613" s="23"/>
      <c r="AR613" s="23"/>
      <c r="AS613" s="23" t="str">
        <f t="shared" si="107"/>
        <v>Yes</v>
      </c>
      <c r="AT613" s="29" t="str">
        <f t="shared" si="113"/>
        <v>Yes</v>
      </c>
      <c r="AU613" s="30"/>
      <c r="AV613" s="31" t="s">
        <v>64</v>
      </c>
      <c r="AW613" s="31" t="s">
        <v>59</v>
      </c>
      <c r="AX613" s="2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</row>
    <row r="614" spans="1:74" x14ac:dyDescent="0.25">
      <c r="A614" s="25">
        <v>679</v>
      </c>
      <c r="B614" s="23" t="s">
        <v>1581</v>
      </c>
      <c r="C614" s="23" t="s">
        <v>1517</v>
      </c>
      <c r="D614" s="26" t="s">
        <v>1582</v>
      </c>
      <c r="E614" s="23">
        <v>15</v>
      </c>
      <c r="F614" s="23" t="s">
        <v>108</v>
      </c>
      <c r="G614" s="23">
        <f>VLOOKUP(C614,[2]Sheet2!$T$3:$V$92,3,FALSE)</f>
        <v>87</v>
      </c>
      <c r="H614" s="23" t="s">
        <v>68</v>
      </c>
      <c r="I614" s="23" t="s">
        <v>436</v>
      </c>
      <c r="J614" s="23">
        <v>2</v>
      </c>
      <c r="K614" s="6">
        <v>0.8</v>
      </c>
      <c r="L614" s="23" t="s">
        <v>1583</v>
      </c>
      <c r="M614" s="23"/>
      <c r="N614" s="23"/>
      <c r="O614" s="23" t="e">
        <f t="shared" si="112"/>
        <v>#VALUE!</v>
      </c>
      <c r="P614" s="23"/>
      <c r="Q614" s="23"/>
      <c r="R614" s="27"/>
      <c r="S614" s="27"/>
      <c r="T614" s="23">
        <v>50700062</v>
      </c>
      <c r="U614" s="28">
        <v>4130203791869</v>
      </c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 t="s">
        <v>41</v>
      </c>
      <c r="AN614" s="23" t="s">
        <v>58</v>
      </c>
      <c r="AO614" s="23" t="s">
        <v>58</v>
      </c>
      <c r="AP614" s="23" t="s">
        <v>58</v>
      </c>
      <c r="AQ614" s="23"/>
      <c r="AR614" s="23" t="s">
        <v>58</v>
      </c>
      <c r="AS614" s="23" t="str">
        <f t="shared" si="107"/>
        <v>Yes</v>
      </c>
      <c r="AT614" s="29" t="str">
        <f t="shared" si="113"/>
        <v>Yes</v>
      </c>
      <c r="AU614" s="30"/>
      <c r="AV614" s="31" t="s">
        <v>64</v>
      </c>
      <c r="AW614" s="31" t="s">
        <v>59</v>
      </c>
      <c r="AX614" s="2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</row>
    <row r="615" spans="1:74" ht="28.5" x14ac:dyDescent="0.25">
      <c r="A615" s="25">
        <v>597</v>
      </c>
      <c r="B615" s="23" t="s">
        <v>1584</v>
      </c>
      <c r="C615" s="23" t="s">
        <v>1489</v>
      </c>
      <c r="D615" s="41" t="s">
        <v>1585</v>
      </c>
      <c r="E615" s="23">
        <v>14</v>
      </c>
      <c r="F615" s="23" t="s">
        <v>108</v>
      </c>
      <c r="G615" s="23">
        <f>VLOOKUP(C615,[2]Sheet2!$T$3:$V$92,3,FALSE)</f>
        <v>81</v>
      </c>
      <c r="H615" s="23" t="s">
        <v>68</v>
      </c>
      <c r="I615" s="23" t="s">
        <v>436</v>
      </c>
      <c r="J615" s="23"/>
      <c r="K615" s="6">
        <v>0</v>
      </c>
      <c r="L615" s="23"/>
      <c r="M615" s="23"/>
      <c r="N615" s="23" t="s">
        <v>1586</v>
      </c>
      <c r="O615" s="23" t="str">
        <f t="shared" si="112"/>
        <v>0 Years, 1 Months, 27 Days</v>
      </c>
      <c r="P615" s="23"/>
      <c r="Q615" s="23" t="s">
        <v>646</v>
      </c>
      <c r="R615" s="27">
        <v>44789</v>
      </c>
      <c r="S615" s="27">
        <v>45965</v>
      </c>
      <c r="T615" s="23"/>
      <c r="U615" s="28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 t="s">
        <v>41</v>
      </c>
      <c r="AN615" s="23"/>
      <c r="AO615" s="23"/>
      <c r="AP615" s="32" t="s">
        <v>58</v>
      </c>
      <c r="AQ615" s="23"/>
      <c r="AR615" s="23"/>
      <c r="AS615" s="23" t="str">
        <f t="shared" si="107"/>
        <v>Incomplete</v>
      </c>
      <c r="AT615" s="29" t="str">
        <f>IF(AM615="Matric",IF(AN615="Yes","Yes",IF(AN615="Under Process", "Under Process","No")),IF(AM615="Inter",IF(AO615="Yes","Yes",IF(AO615="Under Process", "Under Process","No")),IF(AM615="Bachelor",IF(AP615="Yes","Yes",IF(AP615="Under Process", "Under Process","No")),IF(AM615="Master",IF(AQ615="Yes","Yes",IF(AQ615="Under Process", "Under Process","No")),IF(AM615="Vacant",IF(D622="Yes","No","Vacant"),IF(AM615="NA",IF(D622="Yes","No","NA"),"No"))))))</f>
        <v>Yes</v>
      </c>
      <c r="AU615" s="30"/>
      <c r="AV615" s="31"/>
      <c r="AW615" s="31"/>
      <c r="AX615" s="2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</row>
    <row r="616" spans="1:74" x14ac:dyDescent="0.25">
      <c r="A616" s="25">
        <v>609</v>
      </c>
      <c r="B616" s="23" t="s">
        <v>1587</v>
      </c>
      <c r="C616" s="23" t="s">
        <v>1495</v>
      </c>
      <c r="D616" s="26" t="s">
        <v>1588</v>
      </c>
      <c r="E616" s="23">
        <v>14</v>
      </c>
      <c r="F616" s="23" t="s">
        <v>108</v>
      </c>
      <c r="G616" s="23">
        <f>VLOOKUP(C616,[2]Sheet2!$T$3:$V$92,3,FALSE)</f>
        <v>82</v>
      </c>
      <c r="H616" s="23" t="s">
        <v>68</v>
      </c>
      <c r="I616" s="23" t="s">
        <v>436</v>
      </c>
      <c r="J616" s="23">
        <v>3</v>
      </c>
      <c r="K616" s="6">
        <v>0.85</v>
      </c>
      <c r="L616" s="23" t="s">
        <v>1589</v>
      </c>
      <c r="M616" s="23"/>
      <c r="N616" s="23"/>
      <c r="O616" s="23" t="e">
        <f t="shared" si="112"/>
        <v>#VALUE!</v>
      </c>
      <c r="P616" s="23"/>
      <c r="Q616" s="23"/>
      <c r="R616" s="27"/>
      <c r="S616" s="27"/>
      <c r="T616" s="23">
        <v>50752482</v>
      </c>
      <c r="U616" s="28">
        <v>4320621143479</v>
      </c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 t="s">
        <v>41</v>
      </c>
      <c r="AN616" s="32" t="s">
        <v>58</v>
      </c>
      <c r="AO616" s="32" t="s">
        <v>58</v>
      </c>
      <c r="AP616" s="23" t="s">
        <v>58</v>
      </c>
      <c r="AQ616" s="23"/>
      <c r="AR616" s="23"/>
      <c r="AS616" s="23" t="str">
        <f t="shared" si="107"/>
        <v>Yes</v>
      </c>
      <c r="AT616" s="29" t="str">
        <f t="shared" ref="AT616:AT631" si="114">IF(AM616="Matric",IF(AN616="Yes","Yes",IF(AN616="Under Process", "Under Process","No")),IF(AM616="Inter",IF(AO616="Yes","Yes",IF(AO616="Under Process", "Under Process","No")),IF(AM616="Bachelor",IF(AP616="Yes","Yes",IF(AP616="Under Process", "Under Process","No")),IF(AM616="Master",IF(AQ616="Yes","Yes",IF(AQ616="Under Process", "Under Process","No")),IF(AM616="Vacant",IF(D624="Yes","No","Vacant"),IF(AM616="NA",IF(D624="Yes","No","NA"),"No"))))))</f>
        <v>Yes</v>
      </c>
      <c r="AU616" s="30"/>
      <c r="AV616" s="31" t="s">
        <v>64</v>
      </c>
      <c r="AW616" s="31" t="s">
        <v>59</v>
      </c>
      <c r="AX616" s="2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</row>
    <row r="617" spans="1:74" x14ac:dyDescent="0.25">
      <c r="A617" s="25">
        <v>649</v>
      </c>
      <c r="B617" s="23" t="s">
        <v>1590</v>
      </c>
      <c r="C617" s="23" t="s">
        <v>1533</v>
      </c>
      <c r="D617" s="26" t="s">
        <v>66</v>
      </c>
      <c r="E617" s="23">
        <v>17</v>
      </c>
      <c r="F617" s="23" t="s">
        <v>586</v>
      </c>
      <c r="G617" s="23">
        <f>VLOOKUP(C617,[2]Sheet2!$T$3:$V$92,3,FALSE)</f>
        <v>85</v>
      </c>
      <c r="H617" s="23" t="s">
        <v>54</v>
      </c>
      <c r="I617" s="23" t="s">
        <v>436</v>
      </c>
      <c r="J617" s="23"/>
      <c r="L617" s="23"/>
      <c r="M617" s="23"/>
      <c r="N617" s="23"/>
      <c r="O617" s="23" t="str">
        <f>IF(ISNUMBER(SEARCH("to", N617)),
_xlfn.LET(
    _xlpm.first_line, LEFT(N617, IFERROR(SEARCH(CHAR(10), N617)-1, LEN(N617))),
    _xlpm.clean_text, TRIM(SUBSTITUTE(SUBSTITUTE(UPPER(_xlpm.first_line), "DOCKET", ""), "DOCEKT", "")),
    _xlpm.start_dt, DATEVALUE(LEFT(_xlpm.clean_text, 10)),
    _xlpm.end_dt, DATEVALUE(MID(_xlpm.clean_text, SEARCH("to", _xlpm.clean_text) + 3, 10)),
    IF((_xlpm.end_dt - _xlpm.start_dt)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617" s="23"/>
      <c r="Q617" s="23"/>
      <c r="R617" s="27"/>
      <c r="S617" s="27"/>
      <c r="T617" s="23"/>
      <c r="U617" s="28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 t="s">
        <v>66</v>
      </c>
      <c r="AN617" s="23"/>
      <c r="AO617" s="23"/>
      <c r="AP617" s="23"/>
      <c r="AQ617" s="23"/>
      <c r="AR617" s="23"/>
      <c r="AS617" s="23" t="str">
        <f t="shared" si="107"/>
        <v>No</v>
      </c>
      <c r="AT617" s="29" t="str">
        <f t="shared" si="114"/>
        <v>Vacant</v>
      </c>
      <c r="AU617" s="30"/>
      <c r="AV617" s="31"/>
      <c r="AW617" s="31"/>
      <c r="AX617" s="2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</row>
    <row r="618" spans="1:74" x14ac:dyDescent="0.25">
      <c r="A618" s="25">
        <v>623</v>
      </c>
      <c r="B618" s="23" t="s">
        <v>1591</v>
      </c>
      <c r="C618" s="23" t="s">
        <v>1499</v>
      </c>
      <c r="D618" s="41" t="s">
        <v>1592</v>
      </c>
      <c r="E618" s="23">
        <v>14</v>
      </c>
      <c r="F618" s="23" t="s">
        <v>108</v>
      </c>
      <c r="G618" s="23">
        <f>VLOOKUP(C618,[2]Sheet2!$T$3:$V$92,3,FALSE)</f>
        <v>83</v>
      </c>
      <c r="H618" s="23" t="s">
        <v>68</v>
      </c>
      <c r="I618" s="23" t="s">
        <v>436</v>
      </c>
      <c r="J618" s="23"/>
      <c r="K618" s="6">
        <v>0</v>
      </c>
      <c r="L618" s="23"/>
      <c r="M618" s="23"/>
      <c r="N618" s="23"/>
      <c r="O618" s="23" t="e">
        <f t="shared" ref="O618:O681" si="115">IF(DATEVALUE(MID(N618,15,10))-DATEVALUE(LEFT(N618,10))+1&gt;=365,"1 Year",
DATEDIF(DATEVALUE(LEFT(N618,10)),DATEVALUE(MID(N618,15,10)),"Y")&amp;" Years, "&amp;DATEDIF(DATEVALUE(LEFT(N618,10)),DATEVALUE(MID(N618,15,10)),"YM")&amp;" Months, "&amp;DATEDIF(DATEVALUE(LEFT(N618,10)),DATEVALUE(MID(N618,15,10)),"MD")&amp;" Days")</f>
        <v>#VALUE!</v>
      </c>
      <c r="P618" s="23"/>
      <c r="Q618" s="23"/>
      <c r="R618" s="27">
        <v>45957</v>
      </c>
      <c r="S618" s="27">
        <v>45957</v>
      </c>
      <c r="T618" s="23"/>
      <c r="U618" s="28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 t="s">
        <v>41</v>
      </c>
      <c r="AN618" s="23"/>
      <c r="AO618" s="23"/>
      <c r="AP618" s="23"/>
      <c r="AQ618" s="23"/>
      <c r="AR618" s="23"/>
      <c r="AS618" s="23" t="str">
        <f t="shared" si="107"/>
        <v>No</v>
      </c>
      <c r="AT618" s="29" t="str">
        <f t="shared" si="114"/>
        <v>No</v>
      </c>
      <c r="AU618" s="30"/>
      <c r="AV618" s="31"/>
      <c r="AW618" s="31"/>
      <c r="AX618" s="2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</row>
    <row r="619" spans="1:74" x14ac:dyDescent="0.25">
      <c r="A619" s="25">
        <v>624</v>
      </c>
      <c r="B619" s="23" t="s">
        <v>1593</v>
      </c>
      <c r="C619" s="23" t="s">
        <v>1499</v>
      </c>
      <c r="D619" s="26" t="s">
        <v>1594</v>
      </c>
      <c r="E619" s="23">
        <v>14</v>
      </c>
      <c r="F619" s="23" t="s">
        <v>108</v>
      </c>
      <c r="G619" s="23">
        <f>VLOOKUP(C619,[2]Sheet2!$T$3:$V$92,3,FALSE)</f>
        <v>83</v>
      </c>
      <c r="H619" s="23" t="s">
        <v>68</v>
      </c>
      <c r="I619" s="23" t="s">
        <v>436</v>
      </c>
      <c r="J619" s="23">
        <v>3</v>
      </c>
      <c r="K619" s="6">
        <v>0.53</v>
      </c>
      <c r="L619" s="23" t="s">
        <v>1595</v>
      </c>
      <c r="M619" s="23"/>
      <c r="N619" s="23"/>
      <c r="O619" s="23" t="e">
        <f t="shared" si="115"/>
        <v>#VALUE!</v>
      </c>
      <c r="P619" s="23"/>
      <c r="Q619" s="23"/>
      <c r="R619" s="27"/>
      <c r="S619" s="27"/>
      <c r="T619" s="23">
        <v>50746543</v>
      </c>
      <c r="U619" s="28">
        <v>4250190675481</v>
      </c>
      <c r="V619" s="23">
        <v>36081</v>
      </c>
      <c r="W619" s="23" t="s">
        <v>337</v>
      </c>
      <c r="X619" s="23" t="s">
        <v>338</v>
      </c>
      <c r="Y619" s="23" t="s">
        <v>167</v>
      </c>
      <c r="Z619" s="23">
        <v>45124</v>
      </c>
      <c r="AA619" s="23">
        <v>45124</v>
      </c>
      <c r="AB619" s="23" t="s">
        <v>339</v>
      </c>
      <c r="AC619" s="23" t="s">
        <v>189</v>
      </c>
      <c r="AD619" s="23"/>
      <c r="AE619" s="23"/>
      <c r="AF619" s="23"/>
      <c r="AG619" s="23"/>
      <c r="AH619" s="23"/>
      <c r="AI619" s="23">
        <v>45299</v>
      </c>
      <c r="AJ619" s="23"/>
      <c r="AK619" s="23"/>
      <c r="AL619" s="23"/>
      <c r="AM619" s="23" t="s">
        <v>42</v>
      </c>
      <c r="AN619" s="32" t="s">
        <v>58</v>
      </c>
      <c r="AO619" s="32" t="s">
        <v>58</v>
      </c>
      <c r="AP619" s="32" t="s">
        <v>58</v>
      </c>
      <c r="AQ619" s="32" t="s">
        <v>58</v>
      </c>
      <c r="AR619" s="23" t="s">
        <v>58</v>
      </c>
      <c r="AS619" s="23" t="str">
        <f t="shared" si="107"/>
        <v>Yes</v>
      </c>
      <c r="AT619" s="29" t="str">
        <f t="shared" si="114"/>
        <v>Yes</v>
      </c>
      <c r="AU619" s="30"/>
      <c r="AV619" s="31" t="s">
        <v>64</v>
      </c>
      <c r="AW619" s="31"/>
      <c r="AX619" s="2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</row>
    <row r="620" spans="1:74" ht="42.75" x14ac:dyDescent="0.25">
      <c r="A620" s="25">
        <v>637</v>
      </c>
      <c r="B620" s="23" t="s">
        <v>1596</v>
      </c>
      <c r="C620" s="23" t="s">
        <v>1505</v>
      </c>
      <c r="D620" s="41" t="s">
        <v>1597</v>
      </c>
      <c r="E620" s="23">
        <v>14</v>
      </c>
      <c r="F620" s="23" t="s">
        <v>108</v>
      </c>
      <c r="G620" s="23">
        <f>VLOOKUP(C620,[2]Sheet2!$T$3:$V$92,3,FALSE)</f>
        <v>84</v>
      </c>
      <c r="H620" s="23" t="s">
        <v>68</v>
      </c>
      <c r="I620" s="23" t="s">
        <v>436</v>
      </c>
      <c r="J620" s="23"/>
      <c r="K620" s="6">
        <v>0</v>
      </c>
      <c r="L620" s="23"/>
      <c r="M620" s="23"/>
      <c r="N620" s="23" t="s">
        <v>1598</v>
      </c>
      <c r="O620" s="23" t="e">
        <f t="shared" si="115"/>
        <v>#VALUE!</v>
      </c>
      <c r="P620" s="23"/>
      <c r="Q620" s="23" t="s">
        <v>646</v>
      </c>
      <c r="R620" s="27">
        <v>45957</v>
      </c>
      <c r="S620" s="27">
        <v>45957</v>
      </c>
      <c r="T620" s="23"/>
      <c r="U620" s="28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 t="s">
        <v>42</v>
      </c>
      <c r="AN620" s="23"/>
      <c r="AO620" s="23"/>
      <c r="AP620" s="32" t="s">
        <v>58</v>
      </c>
      <c r="AQ620" s="32" t="s">
        <v>58</v>
      </c>
      <c r="AR620" s="23"/>
      <c r="AS620" s="23" t="str">
        <f t="shared" si="107"/>
        <v>Incomplete</v>
      </c>
      <c r="AT620" s="29" t="str">
        <f t="shared" si="114"/>
        <v>Yes</v>
      </c>
      <c r="AU620" s="30"/>
      <c r="AV620" s="31"/>
      <c r="AW620" s="31"/>
      <c r="AX620" s="2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</row>
    <row r="621" spans="1:74" ht="71.25" x14ac:dyDescent="0.25">
      <c r="A621" s="25">
        <v>638</v>
      </c>
      <c r="B621" s="23" t="s">
        <v>1599</v>
      </c>
      <c r="C621" s="23" t="s">
        <v>1505</v>
      </c>
      <c r="D621" s="26" t="s">
        <v>1600</v>
      </c>
      <c r="E621" s="23">
        <v>14</v>
      </c>
      <c r="F621" s="23" t="s">
        <v>108</v>
      </c>
      <c r="G621" s="23">
        <f>VLOOKUP(C621,[2]Sheet2!$T$3:$V$92,3,FALSE)</f>
        <v>84</v>
      </c>
      <c r="H621" s="23" t="s">
        <v>68</v>
      </c>
      <c r="I621" s="23" t="s">
        <v>436</v>
      </c>
      <c r="J621" s="23">
        <v>2</v>
      </c>
      <c r="K621" s="6">
        <v>0.7</v>
      </c>
      <c r="L621" s="23" t="s">
        <v>1601</v>
      </c>
      <c r="M621" s="23"/>
      <c r="N621" s="23" t="s">
        <v>1602</v>
      </c>
      <c r="O621" s="23" t="str">
        <f t="shared" si="115"/>
        <v>0 Years, 2 Months, 30 Days</v>
      </c>
      <c r="P621" s="23" t="s">
        <v>1603</v>
      </c>
      <c r="Q621" s="23" t="s">
        <v>646</v>
      </c>
      <c r="R621" s="27"/>
      <c r="S621" s="27"/>
      <c r="T621" s="23">
        <v>50751997</v>
      </c>
      <c r="U621" s="28" t="s">
        <v>1604</v>
      </c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 t="s">
        <v>41</v>
      </c>
      <c r="AN621" s="32" t="s">
        <v>58</v>
      </c>
      <c r="AO621" s="32" t="s">
        <v>58</v>
      </c>
      <c r="AP621" s="23" t="s">
        <v>58</v>
      </c>
      <c r="AQ621" s="23"/>
      <c r="AR621" s="23"/>
      <c r="AS621" s="23" t="str">
        <f t="shared" si="107"/>
        <v>Yes</v>
      </c>
      <c r="AT621" s="29" t="str">
        <f t="shared" si="114"/>
        <v>Yes</v>
      </c>
      <c r="AU621" s="30"/>
      <c r="AV621" s="31"/>
      <c r="AW621" s="31" t="s">
        <v>59</v>
      </c>
      <c r="AX621" s="2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</row>
    <row r="622" spans="1:74" ht="57" x14ac:dyDescent="0.25">
      <c r="A622" s="25">
        <v>639</v>
      </c>
      <c r="B622" s="23" t="s">
        <v>1605</v>
      </c>
      <c r="C622" s="23" t="s">
        <v>1505</v>
      </c>
      <c r="D622" s="26" t="s">
        <v>1606</v>
      </c>
      <c r="E622" s="23">
        <v>14</v>
      </c>
      <c r="F622" s="23" t="s">
        <v>108</v>
      </c>
      <c r="G622" s="23">
        <f>VLOOKUP(C622,[2]Sheet2!$T$3:$V$92,3,FALSE)</f>
        <v>84</v>
      </c>
      <c r="H622" s="23" t="s">
        <v>68</v>
      </c>
      <c r="I622" s="23" t="s">
        <v>436</v>
      </c>
      <c r="J622" s="23">
        <v>2</v>
      </c>
      <c r="K622" s="6">
        <v>0.6</v>
      </c>
      <c r="L622" s="23" t="s">
        <v>111</v>
      </c>
      <c r="M622" s="23"/>
      <c r="N622" s="23" t="s">
        <v>1607</v>
      </c>
      <c r="O622" s="23" t="str">
        <f t="shared" si="115"/>
        <v>0 Years, 2 Months, 30 Days</v>
      </c>
      <c r="P622" s="23" t="s">
        <v>1608</v>
      </c>
      <c r="Q622" s="23" t="s">
        <v>646</v>
      </c>
      <c r="R622" s="27"/>
      <c r="S622" s="27"/>
      <c r="T622" s="23">
        <v>50751995</v>
      </c>
      <c r="U622" s="28">
        <v>4530397492573</v>
      </c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 t="s">
        <v>41</v>
      </c>
      <c r="AN622" s="23" t="s">
        <v>58</v>
      </c>
      <c r="AO622" s="23" t="s">
        <v>58</v>
      </c>
      <c r="AP622" s="23" t="s">
        <v>58</v>
      </c>
      <c r="AQ622" s="23"/>
      <c r="AR622" s="23"/>
      <c r="AS622" s="23" t="str">
        <f t="shared" si="107"/>
        <v>Yes</v>
      </c>
      <c r="AT622" s="29" t="str">
        <f t="shared" si="114"/>
        <v>Yes</v>
      </c>
      <c r="AU622" s="30"/>
      <c r="AV622" s="31" t="s">
        <v>64</v>
      </c>
      <c r="AW622" s="31" t="s">
        <v>59</v>
      </c>
      <c r="AX622" s="2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</row>
    <row r="623" spans="1:74" ht="28.5" x14ac:dyDescent="0.25">
      <c r="A623" s="25">
        <v>651</v>
      </c>
      <c r="B623" s="23" t="s">
        <v>1609</v>
      </c>
      <c r="C623" s="23" t="s">
        <v>1533</v>
      </c>
      <c r="D623" s="41" t="s">
        <v>1610</v>
      </c>
      <c r="E623" s="23">
        <v>14</v>
      </c>
      <c r="F623" s="23" t="s">
        <v>108</v>
      </c>
      <c r="G623" s="23">
        <f>VLOOKUP(C623,[2]Sheet2!$T$3:$V$92,3,FALSE)</f>
        <v>85</v>
      </c>
      <c r="H623" s="23" t="s">
        <v>68</v>
      </c>
      <c r="I623" s="23" t="s">
        <v>436</v>
      </c>
      <c r="J623" s="23"/>
      <c r="K623" s="6">
        <v>0</v>
      </c>
      <c r="L623" s="23"/>
      <c r="M623" s="23"/>
      <c r="N623" s="23" t="s">
        <v>1611</v>
      </c>
      <c r="O623" s="23" t="str">
        <f t="shared" si="115"/>
        <v>0 Years, 2 Months, 0 Days</v>
      </c>
      <c r="P623" s="23"/>
      <c r="Q623" s="23" t="s">
        <v>646</v>
      </c>
      <c r="R623" s="27">
        <v>45961</v>
      </c>
      <c r="S623" s="27">
        <v>45961</v>
      </c>
      <c r="T623" s="23"/>
      <c r="U623" s="28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 t="s">
        <v>41</v>
      </c>
      <c r="AN623" s="23"/>
      <c r="AO623" s="23"/>
      <c r="AP623" s="32" t="s">
        <v>58</v>
      </c>
      <c r="AQ623" s="23"/>
      <c r="AR623" s="23"/>
      <c r="AS623" s="23" t="str">
        <f t="shared" si="107"/>
        <v>Incomplete</v>
      </c>
      <c r="AT623" s="29" t="str">
        <f t="shared" si="114"/>
        <v>Yes</v>
      </c>
      <c r="AU623" s="30"/>
      <c r="AV623" s="31"/>
      <c r="AW623" s="31"/>
      <c r="AX623" s="2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</row>
    <row r="624" spans="1:74" x14ac:dyDescent="0.25">
      <c r="A624" s="25">
        <v>652</v>
      </c>
      <c r="B624" s="23" t="s">
        <v>1612</v>
      </c>
      <c r="C624" s="23" t="s">
        <v>1533</v>
      </c>
      <c r="D624" s="26" t="s">
        <v>66</v>
      </c>
      <c r="E624" s="23">
        <v>14</v>
      </c>
      <c r="F624" s="23" t="s">
        <v>108</v>
      </c>
      <c r="G624" s="23">
        <f>VLOOKUP(C624,[2]Sheet2!$T$3:$V$92,3,FALSE)</f>
        <v>85</v>
      </c>
      <c r="H624" s="23" t="s">
        <v>68</v>
      </c>
      <c r="I624" s="23" t="s">
        <v>436</v>
      </c>
      <c r="J624" s="23"/>
      <c r="K624" s="6">
        <v>0</v>
      </c>
      <c r="L624" s="23"/>
      <c r="M624" s="23"/>
      <c r="N624" s="23"/>
      <c r="O624" s="23" t="e">
        <f t="shared" si="115"/>
        <v>#VALUE!</v>
      </c>
      <c r="P624" s="23"/>
      <c r="Q624" s="23"/>
      <c r="R624" s="27"/>
      <c r="S624" s="27"/>
      <c r="T624" s="23"/>
      <c r="U624" s="28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 t="s">
        <v>66</v>
      </c>
      <c r="AN624" s="23"/>
      <c r="AO624" s="23"/>
      <c r="AP624" s="23"/>
      <c r="AQ624" s="23"/>
      <c r="AR624" s="23"/>
      <c r="AS624" s="23" t="str">
        <f t="shared" si="107"/>
        <v>No</v>
      </c>
      <c r="AT624" s="29" t="str">
        <f t="shared" si="114"/>
        <v>Vacant</v>
      </c>
      <c r="AU624" s="30"/>
      <c r="AV624" s="31"/>
      <c r="AW624" s="31"/>
      <c r="AX624" s="2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</row>
    <row r="625" spans="1:74" ht="57" x14ac:dyDescent="0.25">
      <c r="A625" s="25">
        <v>653</v>
      </c>
      <c r="B625" s="23" t="s">
        <v>1613</v>
      </c>
      <c r="C625" s="23" t="s">
        <v>1533</v>
      </c>
      <c r="D625" s="26" t="s">
        <v>1614</v>
      </c>
      <c r="E625" s="23">
        <v>14</v>
      </c>
      <c r="F625" s="23" t="s">
        <v>108</v>
      </c>
      <c r="G625" s="23">
        <f>VLOOKUP(C625,[2]Sheet2!$T$3:$V$92,3,FALSE)</f>
        <v>85</v>
      </c>
      <c r="H625" s="23" t="s">
        <v>68</v>
      </c>
      <c r="I625" s="23" t="s">
        <v>436</v>
      </c>
      <c r="J625" s="23">
        <v>1</v>
      </c>
      <c r="K625" s="6">
        <v>0.6</v>
      </c>
      <c r="L625" s="23" t="s">
        <v>111</v>
      </c>
      <c r="M625" s="23"/>
      <c r="N625" s="23" t="s">
        <v>1615</v>
      </c>
      <c r="O625" s="23" t="str">
        <f t="shared" si="115"/>
        <v>0 Years, 7 Months, 23 Days</v>
      </c>
      <c r="P625" s="23" t="s">
        <v>1616</v>
      </c>
      <c r="Q625" s="23" t="s">
        <v>646</v>
      </c>
      <c r="R625" s="27"/>
      <c r="S625" s="27"/>
      <c r="T625" s="23">
        <v>50746305</v>
      </c>
      <c r="U625" s="28">
        <v>4320347269959</v>
      </c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 t="s">
        <v>41</v>
      </c>
      <c r="AN625" s="23" t="s">
        <v>58</v>
      </c>
      <c r="AO625" s="23" t="s">
        <v>58</v>
      </c>
      <c r="AP625" s="32" t="s">
        <v>58</v>
      </c>
      <c r="AQ625" s="23"/>
      <c r="AR625" s="23" t="s">
        <v>1617</v>
      </c>
      <c r="AS625" s="23" t="str">
        <f t="shared" si="107"/>
        <v>Yes</v>
      </c>
      <c r="AT625" s="29" t="str">
        <f t="shared" si="114"/>
        <v>Yes</v>
      </c>
      <c r="AU625" s="30"/>
      <c r="AV625" s="31" t="s">
        <v>64</v>
      </c>
      <c r="AW625" s="31"/>
      <c r="AX625" s="2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</row>
    <row r="626" spans="1:74" x14ac:dyDescent="0.25">
      <c r="A626" s="25">
        <v>656</v>
      </c>
      <c r="B626" s="23" t="s">
        <v>1618</v>
      </c>
      <c r="C626" s="23" t="s">
        <v>1533</v>
      </c>
      <c r="D626" s="26" t="s">
        <v>66</v>
      </c>
      <c r="E626" s="23">
        <v>11</v>
      </c>
      <c r="F626" s="23" t="s">
        <v>138</v>
      </c>
      <c r="G626" s="23">
        <f>VLOOKUP(C626,[2]Sheet2!$T$3:$V$92,3,FALSE)</f>
        <v>85</v>
      </c>
      <c r="H626" s="23" t="s">
        <v>68</v>
      </c>
      <c r="I626" s="23" t="s">
        <v>436</v>
      </c>
      <c r="J626" s="23"/>
      <c r="K626" s="6">
        <v>0</v>
      </c>
      <c r="L626" s="23"/>
      <c r="M626" s="23"/>
      <c r="N626" s="23"/>
      <c r="O626" s="23" t="e">
        <f t="shared" si="115"/>
        <v>#VALUE!</v>
      </c>
      <c r="P626" s="23"/>
      <c r="Q626" s="23"/>
      <c r="R626" s="27"/>
      <c r="S626" s="27"/>
      <c r="T626" s="23"/>
      <c r="U626" s="28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 t="s">
        <v>66</v>
      </c>
      <c r="AN626" s="23"/>
      <c r="AO626" s="23"/>
      <c r="AP626" s="23"/>
      <c r="AQ626" s="23"/>
      <c r="AR626" s="23"/>
      <c r="AS626" s="23" t="str">
        <f>IF(AND(AN626="Yes"), "Yes", IF(AND(AN626=""), "No", "Incomplete"))</f>
        <v>No</v>
      </c>
      <c r="AT626" s="29" t="str">
        <f t="shared" si="114"/>
        <v>Vacant</v>
      </c>
      <c r="AU626" s="30"/>
      <c r="AV626" s="31"/>
      <c r="AW626" s="31"/>
      <c r="AX626" s="2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</row>
    <row r="627" spans="1:74" ht="28.5" x14ac:dyDescent="0.25">
      <c r="A627" s="25">
        <v>666</v>
      </c>
      <c r="B627" s="23" t="s">
        <v>1619</v>
      </c>
      <c r="C627" s="23" t="s">
        <v>1512</v>
      </c>
      <c r="D627" s="26" t="s">
        <v>1620</v>
      </c>
      <c r="E627" s="23">
        <v>14</v>
      </c>
      <c r="F627" s="23" t="s">
        <v>108</v>
      </c>
      <c r="G627" s="23">
        <f>VLOOKUP(C627,[2]Sheet2!$T$3:$V$92,3,FALSE)</f>
        <v>86</v>
      </c>
      <c r="H627" s="23" t="s">
        <v>68</v>
      </c>
      <c r="I627" s="23" t="s">
        <v>436</v>
      </c>
      <c r="J627" s="23">
        <v>3</v>
      </c>
      <c r="K627" s="6">
        <v>0.85</v>
      </c>
      <c r="L627" s="23" t="s">
        <v>1621</v>
      </c>
      <c r="M627" s="23"/>
      <c r="N627" s="23" t="s">
        <v>95</v>
      </c>
      <c r="O627" s="23" t="str">
        <f t="shared" si="115"/>
        <v>1 Year</v>
      </c>
      <c r="P627" s="23" t="s">
        <v>1010</v>
      </c>
      <c r="Q627" s="23" t="s">
        <v>1541</v>
      </c>
      <c r="R627" s="27"/>
      <c r="S627" s="27"/>
      <c r="T627" s="23">
        <v>50698684</v>
      </c>
      <c r="U627" s="28">
        <v>4530107066857</v>
      </c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 t="s">
        <v>41</v>
      </c>
      <c r="AN627" s="32" t="s">
        <v>58</v>
      </c>
      <c r="AO627" s="32" t="s">
        <v>58</v>
      </c>
      <c r="AP627" s="32" t="s">
        <v>58</v>
      </c>
      <c r="AQ627" s="23"/>
      <c r="AR627" s="23" t="s">
        <v>612</v>
      </c>
      <c r="AS627" s="23" t="str">
        <f>IF(AND(AN627="Yes", AO627="Yes", AP627="Yes"), "Yes", IF(AND(AN627="", AO627="", AP627=""), "No", "Incomplete"))</f>
        <v>Yes</v>
      </c>
      <c r="AT627" s="29" t="str">
        <f t="shared" si="114"/>
        <v>Yes</v>
      </c>
      <c r="AU627" s="30"/>
      <c r="AV627" s="31" t="s">
        <v>64</v>
      </c>
      <c r="AW627" s="31" t="s">
        <v>59</v>
      </c>
      <c r="AX627" s="2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</row>
    <row r="628" spans="1:74" x14ac:dyDescent="0.25">
      <c r="A628" s="25">
        <v>667</v>
      </c>
      <c r="B628" s="23" t="s">
        <v>1622</v>
      </c>
      <c r="C628" s="23" t="s">
        <v>1512</v>
      </c>
      <c r="D628" s="41" t="s">
        <v>1162</v>
      </c>
      <c r="E628" s="23">
        <v>14</v>
      </c>
      <c r="F628" s="23" t="s">
        <v>108</v>
      </c>
      <c r="G628" s="23">
        <f>VLOOKUP(C628,[2]Sheet2!$T$3:$V$92,3,FALSE)</f>
        <v>86</v>
      </c>
      <c r="H628" s="23" t="s">
        <v>68</v>
      </c>
      <c r="I628" s="23" t="s">
        <v>436</v>
      </c>
      <c r="J628" s="23"/>
      <c r="K628" s="6">
        <v>0</v>
      </c>
      <c r="L628" s="23"/>
      <c r="M628" s="23"/>
      <c r="N628" s="23"/>
      <c r="O628" s="23" t="e">
        <f t="shared" si="115"/>
        <v>#VALUE!</v>
      </c>
      <c r="P628" s="23"/>
      <c r="Q628" s="23"/>
      <c r="R628" s="27"/>
      <c r="S628" s="27"/>
      <c r="T628" s="23"/>
      <c r="U628" s="28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 t="s">
        <v>41</v>
      </c>
      <c r="AN628" s="32" t="s">
        <v>58</v>
      </c>
      <c r="AO628" s="32" t="s">
        <v>58</v>
      </c>
      <c r="AP628" s="23" t="s">
        <v>412</v>
      </c>
      <c r="AQ628" s="23"/>
      <c r="AR628" s="23"/>
      <c r="AS628" s="23" t="str">
        <f>IF(AND(AN628="Yes", AO628="Yes", AP628="Yes"), "Yes", IF(AND(AN628="", AO628="", AP628=""), "No", "Incomplete"))</f>
        <v>Incomplete</v>
      </c>
      <c r="AT628" s="29" t="str">
        <f t="shared" si="114"/>
        <v>Under Process</v>
      </c>
      <c r="AU628" s="30"/>
      <c r="AV628" s="31"/>
      <c r="AW628" s="31"/>
      <c r="AX628" s="2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</row>
    <row r="629" spans="1:74" x14ac:dyDescent="0.25">
      <c r="A629" s="25">
        <v>680</v>
      </c>
      <c r="B629" s="23" t="s">
        <v>1623</v>
      </c>
      <c r="C629" s="23" t="s">
        <v>1517</v>
      </c>
      <c r="D629" s="41" t="s">
        <v>1624</v>
      </c>
      <c r="E629" s="23">
        <v>14</v>
      </c>
      <c r="F629" s="23" t="s">
        <v>108</v>
      </c>
      <c r="G629" s="23">
        <f>VLOOKUP(C629,[2]Sheet2!$T$3:$V$92,3,FALSE)</f>
        <v>87</v>
      </c>
      <c r="H629" s="23" t="s">
        <v>68</v>
      </c>
      <c r="I629" s="23" t="s">
        <v>436</v>
      </c>
      <c r="J629" s="23"/>
      <c r="K629" s="6">
        <v>0</v>
      </c>
      <c r="L629" s="23"/>
      <c r="M629" s="23" t="s">
        <v>858</v>
      </c>
      <c r="N629" s="23"/>
      <c r="O629" s="23" t="e">
        <f t="shared" si="115"/>
        <v>#VALUE!</v>
      </c>
      <c r="P629" s="23"/>
      <c r="Q629" s="23"/>
      <c r="R629" s="27">
        <v>45957</v>
      </c>
      <c r="S629" s="27">
        <v>45957</v>
      </c>
      <c r="T629" s="23"/>
      <c r="U629" s="28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 t="s">
        <v>42</v>
      </c>
      <c r="AN629" s="23"/>
      <c r="AO629" s="23"/>
      <c r="AP629" s="23"/>
      <c r="AQ629" s="23"/>
      <c r="AR629" s="23"/>
      <c r="AS629" s="23" t="str">
        <f>IF(AND(AN629="Yes", AO629="Yes", AP629="Yes"), "Yes", IF(AND(AN629="", AO629="", AP629=""), "No", "Incomplete"))</f>
        <v>No</v>
      </c>
      <c r="AT629" s="29" t="str">
        <f t="shared" si="114"/>
        <v>No</v>
      </c>
      <c r="AU629" s="30"/>
      <c r="AV629" s="31"/>
      <c r="AW629" s="31"/>
      <c r="AX629" s="2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</row>
    <row r="630" spans="1:74" x14ac:dyDescent="0.25">
      <c r="A630" s="25">
        <v>581</v>
      </c>
      <c r="B630" s="23" t="s">
        <v>1625</v>
      </c>
      <c r="C630" s="23" t="s">
        <v>1478</v>
      </c>
      <c r="D630" s="26" t="s">
        <v>1626</v>
      </c>
      <c r="E630" s="23">
        <v>13</v>
      </c>
      <c r="F630" s="23" t="s">
        <v>131</v>
      </c>
      <c r="G630" s="23">
        <f>VLOOKUP(C630,[2]Sheet2!$T$3:$V$92,3,FALSE)</f>
        <v>79</v>
      </c>
      <c r="H630" s="23" t="s">
        <v>68</v>
      </c>
      <c r="I630" s="23" t="s">
        <v>436</v>
      </c>
      <c r="J630" s="23">
        <v>1</v>
      </c>
      <c r="K630" s="6">
        <v>0.7</v>
      </c>
      <c r="L630" s="23" t="s">
        <v>1627</v>
      </c>
      <c r="M630" s="23"/>
      <c r="N630" s="23"/>
      <c r="O630" s="23" t="e">
        <f t="shared" si="115"/>
        <v>#VALUE!</v>
      </c>
      <c r="P630" s="23"/>
      <c r="Q630" s="23"/>
      <c r="R630" s="27"/>
      <c r="S630" s="27"/>
      <c r="T630" s="23">
        <v>10453433</v>
      </c>
      <c r="U630" s="28">
        <v>4220134335885</v>
      </c>
      <c r="V630" s="23"/>
      <c r="W630" s="23" t="s">
        <v>208</v>
      </c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 t="s">
        <v>39</v>
      </c>
      <c r="AN630" s="32" t="s">
        <v>58</v>
      </c>
      <c r="AO630" s="23"/>
      <c r="AP630" s="23"/>
      <c r="AQ630" s="23"/>
      <c r="AR630" s="23"/>
      <c r="AS630" s="23" t="str">
        <f t="shared" ref="AS630:AS638" si="116">IF(AND(AN630="Yes", AO630="Yes"), "Yes", IF(AND(AN630="", AO630=""), "No", "Incomplete"))</f>
        <v>Incomplete</v>
      </c>
      <c r="AT630" s="29" t="str">
        <f t="shared" si="114"/>
        <v>Yes</v>
      </c>
      <c r="AU630" s="30"/>
      <c r="AV630" s="31" t="s">
        <v>64</v>
      </c>
      <c r="AW630" s="31" t="s">
        <v>59</v>
      </c>
      <c r="AX630" s="2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</row>
    <row r="631" spans="1:74" ht="57" x14ac:dyDescent="0.25">
      <c r="A631" s="25">
        <v>588</v>
      </c>
      <c r="B631" s="23" t="s">
        <v>1628</v>
      </c>
      <c r="C631" s="23" t="s">
        <v>1509</v>
      </c>
      <c r="D631" s="26" t="s">
        <v>1629</v>
      </c>
      <c r="E631" s="23">
        <v>13</v>
      </c>
      <c r="F631" s="23" t="s">
        <v>131</v>
      </c>
      <c r="G631" s="23">
        <f>VLOOKUP(C631,[2]Sheet2!$T$3:$V$92,3,FALSE)</f>
        <v>80</v>
      </c>
      <c r="H631" s="23" t="s">
        <v>68</v>
      </c>
      <c r="I631" s="23" t="s">
        <v>436</v>
      </c>
      <c r="J631" s="23">
        <v>1</v>
      </c>
      <c r="K631" s="6">
        <v>0.7</v>
      </c>
      <c r="L631" s="23" t="s">
        <v>111</v>
      </c>
      <c r="M631" s="23"/>
      <c r="N631" s="23" t="s">
        <v>1524</v>
      </c>
      <c r="O631" s="23" t="str">
        <f t="shared" si="115"/>
        <v>0 Years, 0 Months, 26 Days</v>
      </c>
      <c r="P631" s="23" t="s">
        <v>96</v>
      </c>
      <c r="Q631" s="23" t="s">
        <v>1541</v>
      </c>
      <c r="R631" s="27"/>
      <c r="S631" s="27"/>
      <c r="T631" s="23">
        <v>50218141</v>
      </c>
      <c r="U631" s="28">
        <v>4220116564685</v>
      </c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 t="s">
        <v>40</v>
      </c>
      <c r="AN631" s="32" t="s">
        <v>58</v>
      </c>
      <c r="AO631" s="32" t="s">
        <v>58</v>
      </c>
      <c r="AP631" s="23"/>
      <c r="AQ631" s="23"/>
      <c r="AR631" s="23"/>
      <c r="AS631" s="23" t="str">
        <f t="shared" si="116"/>
        <v>Yes</v>
      </c>
      <c r="AT631" s="29" t="str">
        <f t="shared" si="114"/>
        <v>Yes</v>
      </c>
      <c r="AU631" s="30"/>
      <c r="AV631" s="31"/>
      <c r="AW631" s="31" t="s">
        <v>59</v>
      </c>
      <c r="AX631" s="2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</row>
    <row r="632" spans="1:74" ht="28.5" x14ac:dyDescent="0.25">
      <c r="A632" s="25">
        <v>598</v>
      </c>
      <c r="B632" s="23" t="s">
        <v>1630</v>
      </c>
      <c r="C632" s="23" t="s">
        <v>1489</v>
      </c>
      <c r="D632" s="26" t="s">
        <v>1631</v>
      </c>
      <c r="E632" s="23">
        <v>13</v>
      </c>
      <c r="F632" s="23" t="s">
        <v>131</v>
      </c>
      <c r="G632" s="23">
        <f>VLOOKUP(C632,[2]Sheet2!$T$3:$V$92,3,FALSE)</f>
        <v>81</v>
      </c>
      <c r="H632" s="23" t="s">
        <v>68</v>
      </c>
      <c r="I632" s="23" t="s">
        <v>436</v>
      </c>
      <c r="J632" s="23">
        <v>3</v>
      </c>
      <c r="K632" s="6">
        <v>0.77</v>
      </c>
      <c r="L632" s="23" t="s">
        <v>1632</v>
      </c>
      <c r="M632" s="23"/>
      <c r="N632" s="23" t="s">
        <v>95</v>
      </c>
      <c r="O632" s="23" t="str">
        <f t="shared" si="115"/>
        <v>1 Year</v>
      </c>
      <c r="P632" s="23" t="s">
        <v>1010</v>
      </c>
      <c r="Q632" s="23" t="s">
        <v>1541</v>
      </c>
      <c r="R632" s="27"/>
      <c r="S632" s="27"/>
      <c r="T632" s="23">
        <v>50214311</v>
      </c>
      <c r="U632" s="28">
        <v>4250146002107</v>
      </c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 t="s">
        <v>42</v>
      </c>
      <c r="AN632" s="32" t="s">
        <v>58</v>
      </c>
      <c r="AO632" s="32" t="s">
        <v>58</v>
      </c>
      <c r="AP632" s="32" t="s">
        <v>58</v>
      </c>
      <c r="AQ632" s="32" t="s">
        <v>58</v>
      </c>
      <c r="AR632" s="23"/>
      <c r="AS632" s="23" t="str">
        <f t="shared" si="116"/>
        <v>Yes</v>
      </c>
      <c r="AT632" s="29" t="str">
        <f>IF(AM632="Matric",IF(AN632="Yes","Yes",IF(AN632="Under Process", "Under Process","No")),IF(AM632="Inter",IF(AO632="Yes","Yes",IF(AO632="Under Process", "Under Process","No")),IF(AM632="Bachelor",IF(AP632="Yes","Yes",IF(AP632="Under Process", "Under Process","No")),IF(AM632="Master",IF(AQ632="Yes","Yes",IF(AQ632="Under Process", "Under Process","No")),IF(AM632="Vacant",IF(D639="Yes","No","Vacant"),IF(AM632="NA",IF(D639="Yes","No","NA"),"No"))))))</f>
        <v>Yes</v>
      </c>
      <c r="AU632" s="30"/>
      <c r="AV632" s="31" t="s">
        <v>64</v>
      </c>
      <c r="AW632" s="31" t="s">
        <v>59</v>
      </c>
      <c r="AX632" s="2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</row>
    <row r="633" spans="1:74" x14ac:dyDescent="0.25">
      <c r="A633" s="25">
        <v>611</v>
      </c>
      <c r="B633" s="23" t="s">
        <v>1633</v>
      </c>
      <c r="C633" s="23" t="s">
        <v>1495</v>
      </c>
      <c r="D633" s="26" t="s">
        <v>1634</v>
      </c>
      <c r="E633" s="23">
        <v>13</v>
      </c>
      <c r="F633" s="23" t="s">
        <v>131</v>
      </c>
      <c r="G633" s="23">
        <f>VLOOKUP(C633,[2]Sheet2!$T$3:$V$92,3,FALSE)</f>
        <v>82</v>
      </c>
      <c r="H633" s="23" t="s">
        <v>68</v>
      </c>
      <c r="I633" s="23" t="s">
        <v>436</v>
      </c>
      <c r="J633" s="23">
        <v>2</v>
      </c>
      <c r="K633" s="6">
        <v>0.6</v>
      </c>
      <c r="L633" s="23" t="s">
        <v>111</v>
      </c>
      <c r="M633" s="23"/>
      <c r="N633" s="23"/>
      <c r="O633" s="23" t="e">
        <f t="shared" si="115"/>
        <v>#VALUE!</v>
      </c>
      <c r="P633" s="23"/>
      <c r="Q633" s="23"/>
      <c r="R633" s="27"/>
      <c r="S633" s="27"/>
      <c r="T633" s="23">
        <v>10112229</v>
      </c>
      <c r="U633" s="28">
        <v>4230196903699</v>
      </c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 t="s">
        <v>40</v>
      </c>
      <c r="AN633" s="32" t="s">
        <v>58</v>
      </c>
      <c r="AO633" s="32" t="s">
        <v>58</v>
      </c>
      <c r="AP633" s="23"/>
      <c r="AQ633" s="23"/>
      <c r="AR633" s="23"/>
      <c r="AS633" s="23" t="str">
        <f t="shared" si="116"/>
        <v>Yes</v>
      </c>
      <c r="AT633" s="29" t="str">
        <f>IF(AM633="Matric",IF(AN633="Yes","Yes",IF(AN633="Under Process", "Under Process","No")),IF(AM633="Inter",IF(AO633="Yes","Yes",IF(AO633="Under Process", "Under Process","No")),IF(AM633="Bachelor",IF(AP633="Yes","Yes",IF(AP633="Under Process", "Under Process","No")),IF(AM633="Master",IF(AQ633="Yes","Yes",IF(AQ633="Under Process", "Under Process","No")),IF(AM633="Vacant",IF(D641="Yes","No","Vacant"),IF(AM633="NA",IF(D641="Yes","No","NA"),"No"))))))</f>
        <v>Yes</v>
      </c>
      <c r="AU633" s="30"/>
      <c r="AV633" s="31" t="s">
        <v>64</v>
      </c>
      <c r="AW633" s="31" t="s">
        <v>59</v>
      </c>
      <c r="AX633" s="2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</row>
    <row r="634" spans="1:74" x14ac:dyDescent="0.25">
      <c r="A634" s="25">
        <v>625</v>
      </c>
      <c r="B634" s="23" t="s">
        <v>1635</v>
      </c>
      <c r="C634" s="23" t="s">
        <v>1499</v>
      </c>
      <c r="D634" s="26" t="s">
        <v>1636</v>
      </c>
      <c r="E634" s="23">
        <v>13</v>
      </c>
      <c r="F634" s="23" t="s">
        <v>131</v>
      </c>
      <c r="G634" s="23">
        <f>VLOOKUP(C634,[2]Sheet2!$T$3:$V$92,3,FALSE)</f>
        <v>83</v>
      </c>
      <c r="H634" s="23" t="s">
        <v>68</v>
      </c>
      <c r="I634" s="23" t="s">
        <v>436</v>
      </c>
      <c r="J634" s="23">
        <v>4</v>
      </c>
      <c r="K634" s="6">
        <v>0.74</v>
      </c>
      <c r="L634" s="23" t="s">
        <v>1637</v>
      </c>
      <c r="M634" s="23"/>
      <c r="N634" s="23"/>
      <c r="O634" s="23" t="e">
        <f t="shared" si="115"/>
        <v>#VALUE!</v>
      </c>
      <c r="P634" s="23"/>
      <c r="Q634" s="23"/>
      <c r="R634" s="27"/>
      <c r="S634" s="27"/>
      <c r="T634" s="23">
        <v>10453024</v>
      </c>
      <c r="U634" s="28">
        <v>4210172479493</v>
      </c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 t="s">
        <v>40</v>
      </c>
      <c r="AN634" s="32" t="s">
        <v>58</v>
      </c>
      <c r="AO634" s="32" t="s">
        <v>58</v>
      </c>
      <c r="AP634" s="23"/>
      <c r="AQ634" s="23"/>
      <c r="AR634" s="23"/>
      <c r="AS634" s="23" t="str">
        <f t="shared" si="116"/>
        <v>Yes</v>
      </c>
      <c r="AT634" s="29" t="str">
        <f>IF(AM634="Matric",IF(AN634="Yes","Yes",IF(AN634="Under Process", "Under Process","No")),IF(AM634="Inter",IF(AO634="Yes","Yes",IF(AO634="Under Process", "Under Process","No")),IF(AM634="Bachelor",IF(AP634="Yes","Yes",IF(AP634="Under Process", "Under Process","No")),IF(AM634="Master",IF(AQ634="Yes","Yes",IF(AQ634="Under Process", "Under Process","No")),IF(AM634="Vacant",IF(D642="Yes","No","Vacant"),IF(AM634="NA",IF(D642="Yes","No","NA"),"No"))))))</f>
        <v>Yes</v>
      </c>
      <c r="AU634" s="30"/>
      <c r="AV634" s="31" t="s">
        <v>64</v>
      </c>
      <c r="AW634" s="31"/>
      <c r="AX634" s="2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</row>
    <row r="635" spans="1:74" ht="28.5" x14ac:dyDescent="0.25">
      <c r="A635" s="25">
        <v>640</v>
      </c>
      <c r="B635" s="23" t="s">
        <v>1638</v>
      </c>
      <c r="C635" s="23" t="s">
        <v>1505</v>
      </c>
      <c r="D635" s="26" t="s">
        <v>1639</v>
      </c>
      <c r="E635" s="23">
        <v>13</v>
      </c>
      <c r="F635" s="23" t="s">
        <v>131</v>
      </c>
      <c r="G635" s="23">
        <f>VLOOKUP(C635,[2]Sheet2!$T$3:$V$92,3,FALSE)</f>
        <v>84</v>
      </c>
      <c r="H635" s="23" t="s">
        <v>68</v>
      </c>
      <c r="I635" s="23" t="s">
        <v>436</v>
      </c>
      <c r="J635" s="23">
        <v>3</v>
      </c>
      <c r="K635" s="6">
        <v>0.67</v>
      </c>
      <c r="L635" s="23" t="s">
        <v>1640</v>
      </c>
      <c r="M635" s="23"/>
      <c r="N635" s="23" t="s">
        <v>95</v>
      </c>
      <c r="O635" s="23" t="str">
        <f t="shared" si="115"/>
        <v>1 Year</v>
      </c>
      <c r="P635" s="23" t="s">
        <v>1641</v>
      </c>
      <c r="Q635" s="23" t="s">
        <v>1541</v>
      </c>
      <c r="R635" s="27"/>
      <c r="S635" s="27"/>
      <c r="T635" s="23">
        <v>10298891</v>
      </c>
      <c r="U635" s="28">
        <v>4230109934995</v>
      </c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 t="s">
        <v>39</v>
      </c>
      <c r="AN635" s="23" t="s">
        <v>58</v>
      </c>
      <c r="AO635" s="23"/>
      <c r="AP635" s="23"/>
      <c r="AQ635" s="23"/>
      <c r="AR635" s="23"/>
      <c r="AS635" s="23" t="str">
        <f t="shared" si="116"/>
        <v>Incomplete</v>
      </c>
      <c r="AT635" s="29" t="str">
        <f>IF(AM635="Matric",IF(AN635="Yes","Yes",IF(AN635="Under Process", "Under Process","No")),IF(AM635="Inter",IF(AO635="Yes","Yes",IF(AO635="Under Process", "Under Process","No")),IF(AM635="Bachelor",IF(AP635="Yes","Yes",IF(AP635="Under Process", "Under Process","No")),IF(AM635="Master",IF(AQ635="Yes","Yes",IF(AQ635="Under Process", "Under Process","No")),IF(AM635="Vacant",IF(D643="Yes","No","Vacant"),IF(AM635="NA",IF(D643="Yes","No","NA"),"No"))))))</f>
        <v>Yes</v>
      </c>
      <c r="AU635" s="30"/>
      <c r="AV635" s="31" t="s">
        <v>64</v>
      </c>
      <c r="AW635" s="31" t="s">
        <v>59</v>
      </c>
      <c r="AX635" s="2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</row>
    <row r="636" spans="1:74" ht="28.5" x14ac:dyDescent="0.25">
      <c r="A636" s="25">
        <v>654</v>
      </c>
      <c r="B636" s="23" t="s">
        <v>1642</v>
      </c>
      <c r="C636" s="23" t="s">
        <v>1533</v>
      </c>
      <c r="D636" s="26" t="s">
        <v>1643</v>
      </c>
      <c r="E636" s="23">
        <v>13</v>
      </c>
      <c r="F636" s="23" t="s">
        <v>131</v>
      </c>
      <c r="G636" s="23">
        <f>VLOOKUP(C636,[2]Sheet2!$T$3:$V$92,3,FALSE)</f>
        <v>85</v>
      </c>
      <c r="H636" s="23" t="s">
        <v>68</v>
      </c>
      <c r="I636" s="23" t="s">
        <v>436</v>
      </c>
      <c r="J636" s="23"/>
      <c r="K636" s="6">
        <v>0</v>
      </c>
      <c r="L636" s="23"/>
      <c r="M636" s="23"/>
      <c r="N636" s="23" t="s">
        <v>1644</v>
      </c>
      <c r="O636" s="23" t="str">
        <f t="shared" si="115"/>
        <v>0 Years, 7 Months, 23 Days</v>
      </c>
      <c r="P636" s="23" t="s">
        <v>1010</v>
      </c>
      <c r="Q636" s="23" t="s">
        <v>1541</v>
      </c>
      <c r="R636" s="27"/>
      <c r="S636" s="27"/>
      <c r="T636" s="23">
        <v>10470878</v>
      </c>
      <c r="U636" s="28">
        <v>4210118461065</v>
      </c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 t="s">
        <v>41</v>
      </c>
      <c r="AN636" s="23" t="s">
        <v>1645</v>
      </c>
      <c r="AO636" s="23" t="s">
        <v>1645</v>
      </c>
      <c r="AP636" s="23" t="s">
        <v>58</v>
      </c>
      <c r="AQ636" s="23"/>
      <c r="AR636" s="23"/>
      <c r="AS636" s="23" t="str">
        <f t="shared" si="116"/>
        <v>Incomplete</v>
      </c>
      <c r="AT636" s="29" t="str">
        <f>IF(AM636="Matric",IF(AN636="Yes","Yes",IF(AN636="Under Process", "Under Process","No")),IF(AM636="Inter",IF(AO636="Yes","Yes",IF(AO636="Under Process", "Under Process","No")),IF(AM636="Bachelor",IF(AP636="Yes","Yes",IF(AP636="Under Process", "Under Process","No")),IF(AM636="Master",IF(AQ636="Yes","Yes",IF(AQ636="Under Process", "Under Process","No")),IF(AM636="Vacant",IF(D644="Yes","No","Vacant"),IF(AM636="NA",IF(D644="Yes","No","NA"),"No"))))))</f>
        <v>Yes</v>
      </c>
      <c r="AU636" s="30"/>
      <c r="AV636" s="31" t="s">
        <v>64</v>
      </c>
      <c r="AW636" s="31"/>
      <c r="AX636" s="2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</row>
    <row r="637" spans="1:74" ht="28.5" x14ac:dyDescent="0.25">
      <c r="A637" s="25">
        <v>668</v>
      </c>
      <c r="B637" s="23" t="s">
        <v>1646</v>
      </c>
      <c r="C637" s="23" t="s">
        <v>1512</v>
      </c>
      <c r="D637" s="26" t="s">
        <v>1647</v>
      </c>
      <c r="E637" s="23">
        <v>13</v>
      </c>
      <c r="F637" s="23" t="s">
        <v>131</v>
      </c>
      <c r="G637" s="23">
        <f>VLOOKUP(C637,[2]Sheet2!$T$3:$V$92,3,FALSE)</f>
        <v>86</v>
      </c>
      <c r="H637" s="23" t="s">
        <v>68</v>
      </c>
      <c r="I637" s="23" t="s">
        <v>436</v>
      </c>
      <c r="J637" s="23">
        <v>3</v>
      </c>
      <c r="K637" s="6">
        <v>0.75</v>
      </c>
      <c r="L637" s="23" t="s">
        <v>1648</v>
      </c>
      <c r="M637" s="23"/>
      <c r="N637" s="23" t="s">
        <v>95</v>
      </c>
      <c r="O637" s="23" t="str">
        <f t="shared" si="115"/>
        <v>1 Year</v>
      </c>
      <c r="P637" s="23" t="s">
        <v>1010</v>
      </c>
      <c r="Q637" s="23" t="s">
        <v>1541</v>
      </c>
      <c r="R637" s="27"/>
      <c r="S637" s="27"/>
      <c r="T637" s="23">
        <v>10112803</v>
      </c>
      <c r="U637" s="28">
        <v>4210151701459</v>
      </c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 t="s">
        <v>40</v>
      </c>
      <c r="AN637" s="32" t="s">
        <v>58</v>
      </c>
      <c r="AO637" s="23" t="s">
        <v>58</v>
      </c>
      <c r="AP637" s="23"/>
      <c r="AQ637" s="23"/>
      <c r="AR637" s="23"/>
      <c r="AS637" s="23" t="str">
        <f t="shared" si="116"/>
        <v>Yes</v>
      </c>
      <c r="AT637" s="29" t="str">
        <f>IF(AM637="Matric",IF(AN637="Yes","Yes",IF(AN637="Under Process", "Under Process","No")),IF(AM637="Inter",IF(AO637="Yes","Yes",IF(AO637="Under Process", "Under Process","No")),IF(AM637="Bachelor",IF(AP637="Yes","Yes",IF(AP637="Under Process", "Under Process","No")),IF(AM637="Master",IF(AQ637="Yes","Yes",IF(AQ637="Under Process", "Under Process","No")),IF(AM637="Vacant",IF(#REF!="Yes","No","Vacant"),IF(AM637="NA",IF(#REF!="Yes","No","NA"),"No"))))))</f>
        <v>Yes</v>
      </c>
      <c r="AU637" s="30"/>
      <c r="AV637" s="31" t="s">
        <v>64</v>
      </c>
      <c r="AW637" s="31" t="s">
        <v>59</v>
      </c>
      <c r="AX637" s="2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</row>
    <row r="638" spans="1:74" x14ac:dyDescent="0.25">
      <c r="A638" s="25">
        <v>681</v>
      </c>
      <c r="B638" s="23" t="s">
        <v>1649</v>
      </c>
      <c r="C638" s="23" t="s">
        <v>1517</v>
      </c>
      <c r="D638" s="26" t="s">
        <v>66</v>
      </c>
      <c r="E638" s="23">
        <v>13</v>
      </c>
      <c r="F638" s="23" t="s">
        <v>131</v>
      </c>
      <c r="G638" s="23">
        <f>VLOOKUP(C638,[2]Sheet2!$T$3:$V$92,3,FALSE)</f>
        <v>87</v>
      </c>
      <c r="H638" s="23" t="s">
        <v>68</v>
      </c>
      <c r="I638" s="23" t="s">
        <v>436</v>
      </c>
      <c r="J638" s="23"/>
      <c r="L638" s="23"/>
      <c r="M638" s="23"/>
      <c r="N638" s="23"/>
      <c r="O638" s="23" t="e">
        <f t="shared" si="115"/>
        <v>#VALUE!</v>
      </c>
      <c r="P638" s="23"/>
      <c r="Q638" s="23"/>
      <c r="R638" s="27"/>
      <c r="S638" s="27"/>
      <c r="T638" s="23"/>
      <c r="U638" s="28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 t="s">
        <v>66</v>
      </c>
      <c r="AN638" s="32"/>
      <c r="AO638" s="32"/>
      <c r="AP638" s="23"/>
      <c r="AQ638" s="23"/>
      <c r="AR638" s="23"/>
      <c r="AS638" s="23" t="str">
        <f t="shared" si="116"/>
        <v>No</v>
      </c>
      <c r="AT638" s="29" t="str">
        <f>IF(AM638="Matric",IF(AN638="Yes","Yes",IF(AN638="Under Process", "Under Process","No")),IF(AM638="Inter",IF(AO638="Yes","Yes",IF(AO638="Under Process", "Under Process","No")),IF(AM638="Bachelor",IF(AP638="Yes","Yes",IF(AP638="Under Process", "Under Process","No")),IF(AM638="Master",IF(AQ638="Yes","Yes",IF(AQ638="Under Process", "Under Process","No")),IF(AM638="Vacant",IF(D646="Yes","No","Vacant"),IF(AM638="NA",IF(D646="Yes","No","NA"),"No"))))))</f>
        <v>Vacant</v>
      </c>
      <c r="AU638" s="30"/>
      <c r="AV638" s="31"/>
      <c r="AW638" s="31"/>
      <c r="AX638" s="2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</row>
    <row r="639" spans="1:74" x14ac:dyDescent="0.25">
      <c r="A639" s="25">
        <v>48</v>
      </c>
      <c r="B639" s="23" t="s">
        <v>1650</v>
      </c>
      <c r="C639" s="23" t="s">
        <v>1478</v>
      </c>
      <c r="D639" s="26" t="s">
        <v>1651</v>
      </c>
      <c r="E639" s="23">
        <v>11</v>
      </c>
      <c r="F639" s="23" t="s">
        <v>138</v>
      </c>
      <c r="G639" s="23">
        <f>VLOOKUP(C639,[2]Sheet2!$T$3:$V$92,3,FALSE)</f>
        <v>79</v>
      </c>
      <c r="H639" s="23" t="s">
        <v>68</v>
      </c>
      <c r="I639" s="23" t="s">
        <v>436</v>
      </c>
      <c r="J639" s="23">
        <v>3</v>
      </c>
      <c r="K639" s="6">
        <v>0.63</v>
      </c>
      <c r="L639" s="23" t="s">
        <v>135</v>
      </c>
      <c r="M639" s="23"/>
      <c r="N639" s="23"/>
      <c r="O639" s="23" t="e">
        <f t="shared" si="115"/>
        <v>#VALUE!</v>
      </c>
      <c r="P639" s="23"/>
      <c r="Q639" s="23"/>
      <c r="R639" s="27">
        <v>42076</v>
      </c>
      <c r="S639" s="27">
        <v>44553</v>
      </c>
      <c r="T639" s="23">
        <v>50219887</v>
      </c>
      <c r="U639" s="28">
        <v>3450274424343</v>
      </c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 t="s">
        <v>39</v>
      </c>
      <c r="AN639" s="32" t="s">
        <v>58</v>
      </c>
      <c r="AO639" s="23"/>
      <c r="AP639" s="23"/>
      <c r="AQ639" s="23"/>
      <c r="AR639" s="23"/>
      <c r="AS639" s="23" t="str">
        <f t="shared" ref="AS639:AS677" si="117">IF(AND(AN639="Yes"), "Yes", IF(AND(AN639=""), "No", "Incomplete"))</f>
        <v>Yes</v>
      </c>
      <c r="AT639" s="29" t="str">
        <f>IF(AM639="Matric",IF(AN639="Yes","Yes",IF(AN639="Under Process", "Under Process","No")),IF(AM639="Inter",IF(AO639="Yes","Yes",IF(AO639="Under Process", "Under Process","No")),IF(AM639="Bachelor",IF(AP639="Yes","Yes",IF(AP639="Under Process", "Under Process","No")),IF(AM639="Master",IF(AQ639="Yes","Yes",IF(AQ639="Under Process", "Under Process","No")),IF(AM639="Vacant",IF(D647="Yes","No","Vacant"),IF(AM639="NA",IF(D647="Yes","No","NA"),"No"))))))</f>
        <v>Yes</v>
      </c>
      <c r="AU639" s="30"/>
      <c r="AV639" s="31" t="s">
        <v>64</v>
      </c>
      <c r="AW639" s="31" t="s">
        <v>59</v>
      </c>
      <c r="AX639" s="2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</row>
    <row r="640" spans="1:74" ht="28.5" x14ac:dyDescent="0.25">
      <c r="A640" s="25">
        <v>599</v>
      </c>
      <c r="B640" s="23" t="s">
        <v>1652</v>
      </c>
      <c r="C640" s="23" t="s">
        <v>1489</v>
      </c>
      <c r="D640" s="26" t="s">
        <v>1653</v>
      </c>
      <c r="E640" s="23">
        <v>11</v>
      </c>
      <c r="F640" s="23" t="s">
        <v>138</v>
      </c>
      <c r="G640" s="23">
        <f>VLOOKUP(C640,[2]Sheet2!$T$3:$V$92,3,FALSE)</f>
        <v>81</v>
      </c>
      <c r="H640" s="23" t="s">
        <v>68</v>
      </c>
      <c r="I640" s="23" t="s">
        <v>436</v>
      </c>
      <c r="J640" s="23">
        <v>3</v>
      </c>
      <c r="K640" s="6">
        <v>0.78</v>
      </c>
      <c r="L640" s="23" t="s">
        <v>1654</v>
      </c>
      <c r="M640" s="23"/>
      <c r="N640" s="23" t="s">
        <v>95</v>
      </c>
      <c r="O640" s="23" t="str">
        <f t="shared" si="115"/>
        <v>1 Year</v>
      </c>
      <c r="P640" s="23" t="s">
        <v>677</v>
      </c>
      <c r="Q640" s="23" t="s">
        <v>646</v>
      </c>
      <c r="R640" s="27"/>
      <c r="S640" s="27"/>
      <c r="T640" s="23">
        <v>50378660</v>
      </c>
      <c r="U640" s="28">
        <v>4220176180409</v>
      </c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 t="s">
        <v>41</v>
      </c>
      <c r="AN640" s="32" t="s">
        <v>58</v>
      </c>
      <c r="AO640" s="32" t="s">
        <v>58</v>
      </c>
      <c r="AP640" s="32" t="s">
        <v>58</v>
      </c>
      <c r="AQ640" s="23"/>
      <c r="AR640" s="23"/>
      <c r="AS640" s="23" t="str">
        <f t="shared" si="117"/>
        <v>Yes</v>
      </c>
      <c r="AT640" s="29" t="str">
        <f t="shared" ref="AT640:AT648" si="118">IF(AM640="Matric",IF(AN640="Yes","Yes",IF(AN640="Under Process", "Under Process","No")),IF(AM640="Inter",IF(AO640="Yes","Yes",IF(AO640="Under Process", "Under Process","No")),IF(AM640="Bachelor",IF(AP640="Yes","Yes",IF(AP640="Under Process", "Under Process","No")),IF(AM640="Master",IF(AQ640="Yes","Yes",IF(AQ640="Under Process", "Under Process","No")),IF(AM640="Vacant",IF(D647="Yes","No","Vacant"),IF(AM640="NA",IF(D647="Yes","No","NA"),"No"))))))</f>
        <v>Yes</v>
      </c>
      <c r="AU640" s="30"/>
      <c r="AV640" s="31" t="s">
        <v>64</v>
      </c>
      <c r="AW640" s="31" t="s">
        <v>59</v>
      </c>
      <c r="AX640" s="2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</row>
    <row r="641" spans="1:74" ht="28.5" x14ac:dyDescent="0.25">
      <c r="A641" s="25">
        <v>600</v>
      </c>
      <c r="B641" s="23" t="s">
        <v>1655</v>
      </c>
      <c r="C641" s="23" t="s">
        <v>1489</v>
      </c>
      <c r="D641" s="26" t="s">
        <v>742</v>
      </c>
      <c r="E641" s="23">
        <v>11</v>
      </c>
      <c r="F641" s="23" t="s">
        <v>138</v>
      </c>
      <c r="G641" s="23">
        <f>VLOOKUP(C641,[2]Sheet2!$T$3:$V$92,3,FALSE)</f>
        <v>81</v>
      </c>
      <c r="H641" s="23" t="s">
        <v>68</v>
      </c>
      <c r="I641" s="23" t="s">
        <v>436</v>
      </c>
      <c r="J641" s="23">
        <v>2</v>
      </c>
      <c r="K641" s="6">
        <v>0.6</v>
      </c>
      <c r="L641" s="23" t="s">
        <v>111</v>
      </c>
      <c r="M641" s="23"/>
      <c r="N641" s="23" t="s">
        <v>95</v>
      </c>
      <c r="O641" s="23" t="str">
        <f t="shared" si="115"/>
        <v>1 Year</v>
      </c>
      <c r="P641" s="23" t="s">
        <v>677</v>
      </c>
      <c r="Q641" s="23" t="s">
        <v>646</v>
      </c>
      <c r="R641" s="27"/>
      <c r="S641" s="27"/>
      <c r="T641" s="23">
        <v>50699111</v>
      </c>
      <c r="U641" s="28">
        <v>4250116949697</v>
      </c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 t="s">
        <v>41</v>
      </c>
      <c r="AN641" s="23"/>
      <c r="AO641" s="23"/>
      <c r="AP641" s="32" t="s">
        <v>58</v>
      </c>
      <c r="AQ641" s="23"/>
      <c r="AR641" s="23"/>
      <c r="AS641" s="23" t="str">
        <f t="shared" si="117"/>
        <v>No</v>
      </c>
      <c r="AT641" s="29" t="str">
        <f t="shared" si="118"/>
        <v>Yes</v>
      </c>
      <c r="AU641" s="30"/>
      <c r="AV641" s="31" t="s">
        <v>64</v>
      </c>
      <c r="AW641" s="31" t="s">
        <v>59</v>
      </c>
      <c r="AX641" s="2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</row>
    <row r="642" spans="1:74" ht="28.5" x14ac:dyDescent="0.25">
      <c r="A642" s="25">
        <v>613</v>
      </c>
      <c r="B642" s="23" t="s">
        <v>1656</v>
      </c>
      <c r="C642" s="23" t="s">
        <v>1495</v>
      </c>
      <c r="D642" s="26" t="s">
        <v>1657</v>
      </c>
      <c r="E642" s="23">
        <v>11</v>
      </c>
      <c r="F642" s="23" t="s">
        <v>138</v>
      </c>
      <c r="G642" s="23">
        <f>VLOOKUP(C642,[2]Sheet2!$T$3:$V$92,3,FALSE)</f>
        <v>82</v>
      </c>
      <c r="H642" s="23" t="s">
        <v>68</v>
      </c>
      <c r="I642" s="23" t="s">
        <v>436</v>
      </c>
      <c r="J642" s="23">
        <v>2</v>
      </c>
      <c r="K642" s="6">
        <v>0.6</v>
      </c>
      <c r="L642" s="23" t="s">
        <v>111</v>
      </c>
      <c r="M642" s="23"/>
      <c r="N642" s="23" t="s">
        <v>1658</v>
      </c>
      <c r="O642" s="23" t="str">
        <f t="shared" si="115"/>
        <v>1 Year</v>
      </c>
      <c r="P642" s="23" t="s">
        <v>1010</v>
      </c>
      <c r="Q642" s="23" t="s">
        <v>1541</v>
      </c>
      <c r="R642" s="27"/>
      <c r="S642" s="27"/>
      <c r="T642" s="23">
        <v>50378633</v>
      </c>
      <c r="U642" s="28">
        <v>4220136322673</v>
      </c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 t="s">
        <v>41</v>
      </c>
      <c r="AN642" s="32" t="s">
        <v>58</v>
      </c>
      <c r="AO642" s="32" t="s">
        <v>58</v>
      </c>
      <c r="AP642" s="23" t="s">
        <v>412</v>
      </c>
      <c r="AQ642" s="23"/>
      <c r="AR642" s="23"/>
      <c r="AS642" s="23" t="str">
        <f t="shared" si="117"/>
        <v>Yes</v>
      </c>
      <c r="AT642" s="29" t="str">
        <f t="shared" si="118"/>
        <v>Under Process</v>
      </c>
      <c r="AU642" s="30"/>
      <c r="AV642" s="31" t="s">
        <v>64</v>
      </c>
      <c r="AW642" s="31" t="s">
        <v>59</v>
      </c>
      <c r="AX642" s="2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</row>
    <row r="643" spans="1:74" x14ac:dyDescent="0.25">
      <c r="A643" s="25">
        <v>612</v>
      </c>
      <c r="B643" s="23" t="s">
        <v>1659</v>
      </c>
      <c r="C643" s="23" t="s">
        <v>1495</v>
      </c>
      <c r="D643" s="26" t="s">
        <v>1660</v>
      </c>
      <c r="E643" s="23">
        <v>11</v>
      </c>
      <c r="F643" s="23" t="s">
        <v>138</v>
      </c>
      <c r="G643" s="23">
        <f>VLOOKUP(C643,[2]Sheet2!$T$3:$V$92,3,FALSE)</f>
        <v>82</v>
      </c>
      <c r="H643" s="23" t="s">
        <v>68</v>
      </c>
      <c r="I643" s="23" t="s">
        <v>436</v>
      </c>
      <c r="J643" s="23">
        <v>3</v>
      </c>
      <c r="K643" s="6">
        <v>0.57999999999999996</v>
      </c>
      <c r="L643" s="23" t="s">
        <v>1661</v>
      </c>
      <c r="M643" s="23"/>
      <c r="N643" s="23"/>
      <c r="O643" s="23" t="e">
        <f t="shared" si="115"/>
        <v>#VALUE!</v>
      </c>
      <c r="P643" s="23"/>
      <c r="Q643" s="23"/>
      <c r="R643" s="27"/>
      <c r="S643" s="27"/>
      <c r="T643" s="23">
        <v>50698946</v>
      </c>
      <c r="U643" s="28">
        <v>4550461859101</v>
      </c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 t="s">
        <v>41</v>
      </c>
      <c r="AN643" s="32" t="s">
        <v>58</v>
      </c>
      <c r="AO643" s="32" t="s">
        <v>58</v>
      </c>
      <c r="AP643" s="32" t="s">
        <v>58</v>
      </c>
      <c r="AQ643" s="23"/>
      <c r="AR643" s="23"/>
      <c r="AS643" s="23" t="str">
        <f t="shared" si="117"/>
        <v>Yes</v>
      </c>
      <c r="AT643" s="29" t="str">
        <f t="shared" si="118"/>
        <v>Yes</v>
      </c>
      <c r="AU643" s="30"/>
      <c r="AV643" s="31" t="s">
        <v>64</v>
      </c>
      <c r="AW643" s="31" t="s">
        <v>59</v>
      </c>
      <c r="AX643" s="2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</row>
    <row r="644" spans="1:74" x14ac:dyDescent="0.25">
      <c r="A644" s="25">
        <v>626</v>
      </c>
      <c r="B644" s="23" t="s">
        <v>1662</v>
      </c>
      <c r="C644" s="23" t="s">
        <v>1499</v>
      </c>
      <c r="D644" s="26" t="s">
        <v>1663</v>
      </c>
      <c r="E644" s="23">
        <v>11</v>
      </c>
      <c r="F644" s="23" t="s">
        <v>138</v>
      </c>
      <c r="G644" s="23">
        <f>VLOOKUP(C644,[2]Sheet2!$T$3:$V$92,3,FALSE)</f>
        <v>83</v>
      </c>
      <c r="H644" s="23" t="s">
        <v>68</v>
      </c>
      <c r="I644" s="23" t="s">
        <v>436</v>
      </c>
      <c r="J644" s="23">
        <v>3</v>
      </c>
      <c r="K644" s="6">
        <v>0.73</v>
      </c>
      <c r="L644" s="23" t="s">
        <v>1664</v>
      </c>
      <c r="M644" s="23"/>
      <c r="N644" s="23"/>
      <c r="O644" s="23" t="e">
        <f t="shared" si="115"/>
        <v>#VALUE!</v>
      </c>
      <c r="P644" s="23"/>
      <c r="Q644" s="23"/>
      <c r="R644" s="27"/>
      <c r="S644" s="27"/>
      <c r="T644" s="23">
        <v>50746193</v>
      </c>
      <c r="U644" s="28">
        <v>4320383748543</v>
      </c>
      <c r="V644" s="23">
        <v>35132</v>
      </c>
      <c r="W644" s="23" t="s">
        <v>337</v>
      </c>
      <c r="X644" s="23" t="s">
        <v>1665</v>
      </c>
      <c r="Y644" s="23" t="s">
        <v>858</v>
      </c>
      <c r="Z644" s="23">
        <v>45128</v>
      </c>
      <c r="AA644" s="23">
        <v>45128</v>
      </c>
      <c r="AB644" s="23" t="s">
        <v>339</v>
      </c>
      <c r="AC644" s="23" t="s">
        <v>189</v>
      </c>
      <c r="AD644" s="23"/>
      <c r="AE644" s="23"/>
      <c r="AF644" s="23"/>
      <c r="AG644" s="23"/>
      <c r="AH644" s="23"/>
      <c r="AI644" s="23">
        <v>45295</v>
      </c>
      <c r="AJ644" s="23"/>
      <c r="AK644" s="23"/>
      <c r="AL644" s="23"/>
      <c r="AM644" s="23" t="s">
        <v>41</v>
      </c>
      <c r="AN644" s="32" t="s">
        <v>58</v>
      </c>
      <c r="AO644" s="32" t="s">
        <v>58</v>
      </c>
      <c r="AP644" s="32" t="s">
        <v>58</v>
      </c>
      <c r="AQ644" s="23"/>
      <c r="AR644" s="23"/>
      <c r="AS644" s="23" t="str">
        <f t="shared" si="117"/>
        <v>Yes</v>
      </c>
      <c r="AT644" s="29" t="str">
        <f t="shared" si="118"/>
        <v>Yes</v>
      </c>
      <c r="AU644" s="30"/>
      <c r="AV644" s="31"/>
      <c r="AW644" s="31"/>
      <c r="AX644" s="2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</row>
    <row r="645" spans="1:74" x14ac:dyDescent="0.25">
      <c r="A645" s="25">
        <v>627</v>
      </c>
      <c r="B645" s="23" t="s">
        <v>1666</v>
      </c>
      <c r="C645" s="23" t="s">
        <v>1499</v>
      </c>
      <c r="D645" s="26" t="s">
        <v>1667</v>
      </c>
      <c r="E645" s="23">
        <v>11</v>
      </c>
      <c r="F645" s="23" t="s">
        <v>138</v>
      </c>
      <c r="G645" s="23">
        <f>VLOOKUP(C645,[2]Sheet2!$T$3:$V$92,3,FALSE)</f>
        <v>83</v>
      </c>
      <c r="H645" s="23" t="s">
        <v>68</v>
      </c>
      <c r="I645" s="23" t="s">
        <v>436</v>
      </c>
      <c r="J645" s="23">
        <v>2</v>
      </c>
      <c r="K645" s="6">
        <v>0.6</v>
      </c>
      <c r="L645" s="23" t="s">
        <v>111</v>
      </c>
      <c r="M645" s="23"/>
      <c r="N645" s="23"/>
      <c r="O645" s="23" t="e">
        <f t="shared" si="115"/>
        <v>#VALUE!</v>
      </c>
      <c r="P645" s="23"/>
      <c r="Q645" s="23"/>
      <c r="R645" s="27"/>
      <c r="S645" s="27"/>
      <c r="T645" s="23">
        <v>50699108</v>
      </c>
      <c r="U645" s="28">
        <v>4200070068967</v>
      </c>
      <c r="V645" s="23">
        <v>36862</v>
      </c>
      <c r="W645" s="23" t="s">
        <v>337</v>
      </c>
      <c r="X645" s="23" t="s">
        <v>1665</v>
      </c>
      <c r="Y645" s="23" t="s">
        <v>167</v>
      </c>
      <c r="Z645" s="23">
        <v>44693</v>
      </c>
      <c r="AA645" s="23">
        <v>44693</v>
      </c>
      <c r="AB645" s="23" t="s">
        <v>339</v>
      </c>
      <c r="AC645" s="23" t="s">
        <v>189</v>
      </c>
      <c r="AD645" s="23"/>
      <c r="AE645" s="23"/>
      <c r="AF645" s="23"/>
      <c r="AG645" s="23"/>
      <c r="AH645" s="23"/>
      <c r="AI645" s="23">
        <v>45058</v>
      </c>
      <c r="AJ645" s="23" t="s">
        <v>1668</v>
      </c>
      <c r="AK645" s="23" t="s">
        <v>1669</v>
      </c>
      <c r="AL645" s="23">
        <v>44927</v>
      </c>
      <c r="AM645" s="23" t="s">
        <v>40</v>
      </c>
      <c r="AN645" s="32" t="s">
        <v>58</v>
      </c>
      <c r="AO645" s="39" t="s">
        <v>58</v>
      </c>
      <c r="AP645" s="23"/>
      <c r="AQ645" s="23"/>
      <c r="AR645" s="23"/>
      <c r="AS645" s="23" t="str">
        <f t="shared" si="117"/>
        <v>Yes</v>
      </c>
      <c r="AT645" s="29" t="str">
        <f t="shared" si="118"/>
        <v>Yes</v>
      </c>
      <c r="AU645" s="30"/>
      <c r="AV645" s="31" t="s">
        <v>64</v>
      </c>
      <c r="AW645" s="31"/>
      <c r="AX645" s="2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</row>
    <row r="646" spans="1:74" x14ac:dyDescent="0.25">
      <c r="A646" s="25">
        <v>72</v>
      </c>
      <c r="B646" s="23" t="s">
        <v>1670</v>
      </c>
      <c r="C646" s="23" t="s">
        <v>1505</v>
      </c>
      <c r="D646" s="26" t="s">
        <v>520</v>
      </c>
      <c r="E646" s="23">
        <v>11</v>
      </c>
      <c r="F646" s="23" t="s">
        <v>138</v>
      </c>
      <c r="G646" s="23">
        <f>VLOOKUP(C646,[2]Sheet2!$T$3:$V$92,3,FALSE)</f>
        <v>84</v>
      </c>
      <c r="H646" s="23" t="s">
        <v>68</v>
      </c>
      <c r="I646" s="23" t="s">
        <v>436</v>
      </c>
      <c r="J646" s="23">
        <v>2</v>
      </c>
      <c r="K646" s="6">
        <v>0.68</v>
      </c>
      <c r="L646" s="23" t="s">
        <v>1671</v>
      </c>
      <c r="M646" s="23"/>
      <c r="N646" s="23"/>
      <c r="O646" s="23" t="e">
        <f t="shared" si="115"/>
        <v>#VALUE!</v>
      </c>
      <c r="P646" s="23"/>
      <c r="Q646" s="23"/>
      <c r="R646" s="27">
        <v>45126</v>
      </c>
      <c r="S646" s="27">
        <v>45126</v>
      </c>
      <c r="T646" s="23">
        <v>50750203</v>
      </c>
      <c r="U646" s="28">
        <v>4250124248951</v>
      </c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 t="s">
        <v>41</v>
      </c>
      <c r="AN646" s="32" t="s">
        <v>58</v>
      </c>
      <c r="AO646" s="32" t="s">
        <v>58</v>
      </c>
      <c r="AP646" s="23" t="s">
        <v>486</v>
      </c>
      <c r="AQ646" s="23"/>
      <c r="AR646" s="23"/>
      <c r="AS646" s="23" t="str">
        <f t="shared" si="117"/>
        <v>Yes</v>
      </c>
      <c r="AT646" s="29" t="str">
        <f t="shared" si="118"/>
        <v>Under Process</v>
      </c>
      <c r="AU646" s="30"/>
      <c r="AV646" s="31"/>
      <c r="AW646" s="31" t="s">
        <v>59</v>
      </c>
      <c r="AX646" s="2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</row>
    <row r="647" spans="1:74" ht="28.5" x14ac:dyDescent="0.25">
      <c r="A647" s="25">
        <v>642</v>
      </c>
      <c r="B647" s="23" t="s">
        <v>1672</v>
      </c>
      <c r="C647" s="23" t="s">
        <v>1505</v>
      </c>
      <c r="D647" s="26" t="s">
        <v>1673</v>
      </c>
      <c r="E647" s="23">
        <v>11</v>
      </c>
      <c r="F647" s="23" t="s">
        <v>138</v>
      </c>
      <c r="G647" s="23">
        <f>VLOOKUP(C647,[2]Sheet2!$T$3:$V$92,3,FALSE)</f>
        <v>84</v>
      </c>
      <c r="H647" s="23" t="s">
        <v>68</v>
      </c>
      <c r="I647" s="23" t="s">
        <v>436</v>
      </c>
      <c r="J647" s="23">
        <v>2</v>
      </c>
      <c r="K647" s="6">
        <v>0.7</v>
      </c>
      <c r="L647" s="23" t="s">
        <v>1674</v>
      </c>
      <c r="M647" s="23"/>
      <c r="N647" s="23" t="s">
        <v>1675</v>
      </c>
      <c r="O647" s="23" t="str">
        <f t="shared" si="115"/>
        <v>0 Years, 5 Months, 10 Days</v>
      </c>
      <c r="P647" s="23" t="s">
        <v>96</v>
      </c>
      <c r="Q647" s="23" t="s">
        <v>646</v>
      </c>
      <c r="R647" s="27"/>
      <c r="S647" s="27"/>
      <c r="T647" s="23">
        <v>50197632</v>
      </c>
      <c r="U647" s="28">
        <v>4210129122115</v>
      </c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 t="s">
        <v>39</v>
      </c>
      <c r="AN647" s="32" t="s">
        <v>58</v>
      </c>
      <c r="AO647" s="23"/>
      <c r="AP647" s="23"/>
      <c r="AQ647" s="23"/>
      <c r="AR647" s="23"/>
      <c r="AS647" s="23" t="str">
        <f t="shared" si="117"/>
        <v>Yes</v>
      </c>
      <c r="AT647" s="29" t="str">
        <f t="shared" si="118"/>
        <v>Yes</v>
      </c>
      <c r="AU647" s="30"/>
      <c r="AV647" s="31" t="s">
        <v>64</v>
      </c>
      <c r="AW647" s="31" t="s">
        <v>59</v>
      </c>
      <c r="AX647" s="2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</row>
    <row r="648" spans="1:74" ht="28.5" x14ac:dyDescent="0.25">
      <c r="A648" s="25">
        <v>655</v>
      </c>
      <c r="B648" s="23" t="s">
        <v>1676</v>
      </c>
      <c r="C648" s="23" t="s">
        <v>1533</v>
      </c>
      <c r="D648" s="26" t="s">
        <v>1677</v>
      </c>
      <c r="E648" s="23">
        <v>11</v>
      </c>
      <c r="F648" s="23" t="s">
        <v>138</v>
      </c>
      <c r="G648" s="23">
        <f>VLOOKUP(C648,[2]Sheet2!$T$3:$V$92,3,FALSE)</f>
        <v>85</v>
      </c>
      <c r="H648" s="23" t="s">
        <v>68</v>
      </c>
      <c r="I648" s="23" t="s">
        <v>436</v>
      </c>
      <c r="J648" s="23">
        <v>2</v>
      </c>
      <c r="K648" s="6">
        <v>0.7</v>
      </c>
      <c r="L648" s="23" t="s">
        <v>111</v>
      </c>
      <c r="M648" s="23"/>
      <c r="N648" s="23" t="s">
        <v>1678</v>
      </c>
      <c r="O648" s="23" t="str">
        <f t="shared" si="115"/>
        <v>0 Years, 5 Months, 3 Days</v>
      </c>
      <c r="P648" s="23" t="s">
        <v>96</v>
      </c>
      <c r="Q648" s="23"/>
      <c r="R648" s="27"/>
      <c r="S648" s="27"/>
      <c r="T648" s="23">
        <v>50211402</v>
      </c>
      <c r="U648" s="28">
        <v>4230184502225</v>
      </c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 t="s">
        <v>40</v>
      </c>
      <c r="AN648" s="32" t="s">
        <v>58</v>
      </c>
      <c r="AO648" s="32" t="s">
        <v>58</v>
      </c>
      <c r="AP648" s="23"/>
      <c r="AQ648" s="23"/>
      <c r="AR648" s="23"/>
      <c r="AS648" s="23" t="str">
        <f t="shared" si="117"/>
        <v>Yes</v>
      </c>
      <c r="AT648" s="29" t="str">
        <f t="shared" si="118"/>
        <v>Yes</v>
      </c>
      <c r="AU648" s="30"/>
      <c r="AV648" s="31" t="s">
        <v>64</v>
      </c>
      <c r="AW648" s="31"/>
      <c r="AX648" s="2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</row>
    <row r="649" spans="1:74" ht="28.5" x14ac:dyDescent="0.25">
      <c r="A649" s="25">
        <v>669</v>
      </c>
      <c r="B649" s="23" t="s">
        <v>1679</v>
      </c>
      <c r="C649" s="23" t="s">
        <v>1512</v>
      </c>
      <c r="D649" s="26" t="s">
        <v>1680</v>
      </c>
      <c r="E649" s="23">
        <v>11</v>
      </c>
      <c r="F649" s="23" t="s">
        <v>138</v>
      </c>
      <c r="G649" s="23">
        <f>VLOOKUP(C649,[2]Sheet2!$T$3:$V$92,3,FALSE)</f>
        <v>86</v>
      </c>
      <c r="H649" s="23" t="s">
        <v>68</v>
      </c>
      <c r="I649" s="23" t="s">
        <v>436</v>
      </c>
      <c r="J649" s="23">
        <v>2</v>
      </c>
      <c r="K649" s="6">
        <v>0.6</v>
      </c>
      <c r="L649" s="23" t="s">
        <v>111</v>
      </c>
      <c r="M649" s="23"/>
      <c r="N649" s="23" t="s">
        <v>1681</v>
      </c>
      <c r="O649" s="23" t="str">
        <f t="shared" si="115"/>
        <v>0 Years, 5 Months, 9 Days</v>
      </c>
      <c r="P649" s="23" t="s">
        <v>1010</v>
      </c>
      <c r="Q649" s="23" t="s">
        <v>1541</v>
      </c>
      <c r="R649" s="27"/>
      <c r="S649" s="27"/>
      <c r="T649" s="23">
        <v>50197383</v>
      </c>
      <c r="U649" s="28">
        <v>4220146950915</v>
      </c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 t="s">
        <v>39</v>
      </c>
      <c r="AN649" s="32" t="s">
        <v>58</v>
      </c>
      <c r="AO649" s="23"/>
      <c r="AP649" s="23"/>
      <c r="AQ649" s="23"/>
      <c r="AR649" s="23"/>
      <c r="AS649" s="23" t="str">
        <f t="shared" si="117"/>
        <v>Yes</v>
      </c>
      <c r="AT649" s="29" t="str">
        <f>IF(AM649="Matric",IF(AN649="Yes","Yes",IF(AN649="Under Process", "Under Process","No")),IF(AM649="Inter",IF(AO649="Yes","Yes",IF(AO649="Under Process", "Under Process","No")),IF(AM649="Bachelor",IF(AP649="Yes","Yes",IF(AP649="Under Process", "Under Process","No")),IF(AM649="Master",IF(AQ649="Yes","Yes",IF(AQ649="Under Process", "Under Process","No")),IF(AM649="Vacant",IF(D657="Yes","No","Vacant"),IF(AM649="NA",IF(D657="Yes","No","NA"),"No"))))))</f>
        <v>Yes</v>
      </c>
      <c r="AU649" s="30"/>
      <c r="AV649" s="31" t="s">
        <v>64</v>
      </c>
      <c r="AW649" s="31" t="s">
        <v>59</v>
      </c>
      <c r="AX649" s="2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</row>
    <row r="650" spans="1:74" ht="28.5" x14ac:dyDescent="0.25">
      <c r="A650" s="25">
        <v>670</v>
      </c>
      <c r="B650" s="23" t="s">
        <v>1682</v>
      </c>
      <c r="C650" s="23" t="s">
        <v>1512</v>
      </c>
      <c r="D650" s="26" t="s">
        <v>1683</v>
      </c>
      <c r="E650" s="23">
        <v>11</v>
      </c>
      <c r="F650" s="23" t="s">
        <v>138</v>
      </c>
      <c r="G650" s="23">
        <f>VLOOKUP(C650,[2]Sheet2!$T$3:$V$92,3,FALSE)</f>
        <v>86</v>
      </c>
      <c r="H650" s="23" t="s">
        <v>68</v>
      </c>
      <c r="I650" s="23" t="s">
        <v>436</v>
      </c>
      <c r="J650" s="23">
        <v>1</v>
      </c>
      <c r="K650" s="6">
        <v>0.6</v>
      </c>
      <c r="L650" s="23" t="s">
        <v>111</v>
      </c>
      <c r="M650" s="23"/>
      <c r="N650" s="23" t="s">
        <v>95</v>
      </c>
      <c r="O650" s="23" t="str">
        <f t="shared" si="115"/>
        <v>1 Year</v>
      </c>
      <c r="P650" s="23" t="s">
        <v>1010</v>
      </c>
      <c r="Q650" s="23" t="s">
        <v>1541</v>
      </c>
      <c r="R650" s="27"/>
      <c r="S650" s="27"/>
      <c r="T650" s="23">
        <v>50675974</v>
      </c>
      <c r="U650" s="28">
        <v>4420213549087</v>
      </c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 t="s">
        <v>40</v>
      </c>
      <c r="AN650" s="32" t="s">
        <v>58</v>
      </c>
      <c r="AO650" s="32" t="s">
        <v>58</v>
      </c>
      <c r="AP650" s="23"/>
      <c r="AQ650" s="23"/>
      <c r="AR650" s="23"/>
      <c r="AS650" s="23" t="str">
        <f t="shared" si="117"/>
        <v>Yes</v>
      </c>
      <c r="AT650" s="29" t="str">
        <f>IF(AM650="Matric",IF(AN650="Yes","Yes",IF(AN650="Under Process", "Under Process","No")),IF(AM650="Inter",IF(AO650="Yes","Yes",IF(AO650="Under Process", "Under Process","No")),IF(AM650="Bachelor",IF(AP650="Yes","Yes",IF(AP650="Under Process", "Under Process","No")),IF(AM650="Master",IF(AQ650="Yes","Yes",IF(AQ650="Under Process", "Under Process","No")),IF(AM650="Vacant",IF(D658="Yes","No","Vacant"),IF(AM650="NA",IF(D658="Yes","No","NA"),"No"))))))</f>
        <v>Yes</v>
      </c>
      <c r="AU650" s="30"/>
      <c r="AV650" s="31" t="s">
        <v>64</v>
      </c>
      <c r="AW650" s="31" t="s">
        <v>59</v>
      </c>
      <c r="AX650" s="2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</row>
    <row r="651" spans="1:74" x14ac:dyDescent="0.25">
      <c r="A651" s="25">
        <v>682</v>
      </c>
      <c r="B651" s="23" t="s">
        <v>1684</v>
      </c>
      <c r="C651" s="23" t="s">
        <v>1517</v>
      </c>
      <c r="D651" s="26" t="s">
        <v>1685</v>
      </c>
      <c r="E651" s="23">
        <v>11</v>
      </c>
      <c r="F651" s="23" t="s">
        <v>138</v>
      </c>
      <c r="G651" s="23">
        <f>VLOOKUP(C651,[2]Sheet2!$T$3:$V$92,3,FALSE)</f>
        <v>87</v>
      </c>
      <c r="H651" s="23" t="s">
        <v>68</v>
      </c>
      <c r="I651" s="23" t="s">
        <v>436</v>
      </c>
      <c r="J651" s="23">
        <v>2</v>
      </c>
      <c r="K651" s="6">
        <v>0.7</v>
      </c>
      <c r="L651" s="23" t="s">
        <v>1686</v>
      </c>
      <c r="M651" s="23"/>
      <c r="N651" s="23"/>
      <c r="O651" s="23" t="e">
        <f t="shared" si="115"/>
        <v>#VALUE!</v>
      </c>
      <c r="P651" s="23"/>
      <c r="Q651" s="23"/>
      <c r="R651" s="27"/>
      <c r="S651" s="27"/>
      <c r="T651" s="23">
        <v>50378640</v>
      </c>
      <c r="U651" s="28">
        <v>4230150022257</v>
      </c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 t="s">
        <v>42</v>
      </c>
      <c r="AN651" s="23" t="s">
        <v>58</v>
      </c>
      <c r="AO651" s="23" t="s">
        <v>58</v>
      </c>
      <c r="AP651" s="23" t="s">
        <v>58</v>
      </c>
      <c r="AQ651" s="23" t="s">
        <v>58</v>
      </c>
      <c r="AR651" s="23"/>
      <c r="AS651" s="23" t="str">
        <f t="shared" si="117"/>
        <v>Yes</v>
      </c>
      <c r="AT651" s="29" t="str">
        <f>IF(AM651="Matric",IF(AN651="Yes","Yes",IF(AN651="Under Process", "Under Process","No")),IF(AM651="Inter",IF(AO651="Yes","Yes",IF(AO651="Under Process", "Under Process","No")),IF(AM651="Bachelor",IF(AP651="Yes","Yes",IF(AP651="Under Process", "Under Process","No")),IF(AM651="Master",IF(AQ651="Yes","Yes",IF(AQ651="Under Process", "Under Process","No")),IF(AM651="Vacant",IF(D659="Yes","No","Vacant"),IF(AM651="NA",IF(D659="Yes","No","NA"),"No"))))))</f>
        <v>Yes</v>
      </c>
      <c r="AU651" s="30"/>
      <c r="AV651" s="31" t="s">
        <v>64</v>
      </c>
      <c r="AW651" s="31" t="s">
        <v>59</v>
      </c>
      <c r="AX651" s="2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</row>
    <row r="652" spans="1:74" x14ac:dyDescent="0.25">
      <c r="A652" s="25">
        <v>683</v>
      </c>
      <c r="B652" s="23" t="s">
        <v>1687</v>
      </c>
      <c r="C652" s="23" t="s">
        <v>1517</v>
      </c>
      <c r="D652" s="26" t="s">
        <v>1688</v>
      </c>
      <c r="E652" s="23">
        <v>11</v>
      </c>
      <c r="F652" s="23" t="s">
        <v>138</v>
      </c>
      <c r="G652" s="23">
        <f>VLOOKUP(C652,[2]Sheet2!$T$3:$V$92,3,FALSE)</f>
        <v>87</v>
      </c>
      <c r="H652" s="23" t="s">
        <v>68</v>
      </c>
      <c r="I652" s="23" t="s">
        <v>436</v>
      </c>
      <c r="J652" s="23">
        <v>2</v>
      </c>
      <c r="K652" s="6">
        <v>0.7</v>
      </c>
      <c r="L652" s="23" t="s">
        <v>1689</v>
      </c>
      <c r="M652" s="23"/>
      <c r="N652" s="23"/>
      <c r="O652" s="23" t="e">
        <f t="shared" si="115"/>
        <v>#VALUE!</v>
      </c>
      <c r="P652" s="23"/>
      <c r="Q652" s="23"/>
      <c r="R652" s="27"/>
      <c r="S652" s="27"/>
      <c r="T652" s="23">
        <v>50700047</v>
      </c>
      <c r="U652" s="28">
        <v>4240133835769</v>
      </c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 t="s">
        <v>39</v>
      </c>
      <c r="AN652" s="23" t="s">
        <v>58</v>
      </c>
      <c r="AO652" s="23"/>
      <c r="AP652" s="23"/>
      <c r="AQ652" s="23"/>
      <c r="AR652" s="23" t="s">
        <v>1562</v>
      </c>
      <c r="AS652" s="23" t="str">
        <f t="shared" si="117"/>
        <v>Yes</v>
      </c>
      <c r="AT652" s="29" t="str">
        <f>IF(AM652="Matric",IF(AN652="Yes","Yes",IF(AN652="Under Process", "Under Process","No")),IF(AM652="Inter",IF(AO652="Yes","Yes",IF(AO652="Under Process", "Under Process","No")),IF(AM652="Bachelor",IF(AP652="Yes","Yes",IF(AP652="Under Process", "Under Process","No")),IF(AM652="Master",IF(AQ652="Yes","Yes",IF(AQ652="Under Process", "Under Process","No")),IF(AM652="Vacant",IF(D660="Yes","No","Vacant"),IF(AM652="NA",IF(D660="Yes","No","NA"),"No"))))))</f>
        <v>Yes</v>
      </c>
      <c r="AU652" s="30"/>
      <c r="AV652" s="31" t="s">
        <v>64</v>
      </c>
      <c r="AW652" s="31" t="s">
        <v>59</v>
      </c>
      <c r="AX652" s="2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</row>
    <row r="653" spans="1:74" x14ac:dyDescent="0.25">
      <c r="A653" s="25">
        <v>583</v>
      </c>
      <c r="B653" s="23" t="s">
        <v>1690</v>
      </c>
      <c r="C653" s="23" t="s">
        <v>1478</v>
      </c>
      <c r="D653" s="26" t="s">
        <v>1691</v>
      </c>
      <c r="E653" s="23">
        <v>7</v>
      </c>
      <c r="F653" s="23" t="s">
        <v>145</v>
      </c>
      <c r="G653" s="23">
        <f>VLOOKUP(C653,[2]Sheet2!$T$3:$V$92,3,FALSE)</f>
        <v>79</v>
      </c>
      <c r="H653" s="23" t="s">
        <v>68</v>
      </c>
      <c r="I653" s="23" t="s">
        <v>436</v>
      </c>
      <c r="J653" s="23">
        <v>3</v>
      </c>
      <c r="K653" s="6">
        <v>0.63</v>
      </c>
      <c r="L653" s="23" t="s">
        <v>1692</v>
      </c>
      <c r="M653" s="23"/>
      <c r="N653" s="23"/>
      <c r="O653" s="23" t="e">
        <f t="shared" si="115"/>
        <v>#VALUE!</v>
      </c>
      <c r="P653" s="23"/>
      <c r="Q653" s="23"/>
      <c r="R653" s="27"/>
      <c r="S653" s="27"/>
      <c r="T653" s="23">
        <v>50220232</v>
      </c>
      <c r="U653" s="28">
        <v>4210116876191</v>
      </c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 t="s">
        <v>39</v>
      </c>
      <c r="AN653" s="32" t="s">
        <v>58</v>
      </c>
      <c r="AO653" s="23"/>
      <c r="AP653" s="23"/>
      <c r="AQ653" s="23"/>
      <c r="AR653" s="23"/>
      <c r="AS653" s="23" t="str">
        <f t="shared" si="117"/>
        <v>Yes</v>
      </c>
      <c r="AT653" s="29" t="str">
        <f>IF(AM653="Matric",IF(AN653="Yes","Yes",IF(AN653="Under Process", "Under Process","No")),IF(AM653="Inter",IF(AO653="Yes","Yes",IF(AO653="Under Process", "Under Process","No")),IF(AM653="Bachelor",IF(AP653="Yes","Yes",IF(AP653="Under Process", "Under Process","No")),IF(AM653="Master",IF(AQ653="Yes","Yes",IF(AQ653="Under Process", "Under Process","No")),IF(AM653="Vacant",IF(D661="Yes","No","Vacant"),IF(AM653="NA",IF(D661="Yes","No","NA"),"No"))))))</f>
        <v>Yes</v>
      </c>
      <c r="AU653" s="30"/>
      <c r="AV653" s="31" t="s">
        <v>64</v>
      </c>
      <c r="AW653" s="31" t="s">
        <v>59</v>
      </c>
      <c r="AX653" s="2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</row>
    <row r="654" spans="1:74" x14ac:dyDescent="0.25">
      <c r="A654" s="25">
        <v>601</v>
      </c>
      <c r="B654" s="23" t="s">
        <v>1693</v>
      </c>
      <c r="C654" s="23" t="s">
        <v>1489</v>
      </c>
      <c r="D654" s="26" t="s">
        <v>1694</v>
      </c>
      <c r="E654" s="23">
        <v>7</v>
      </c>
      <c r="F654" s="23" t="s">
        <v>264</v>
      </c>
      <c r="G654" s="23">
        <f>VLOOKUP(C654,[2]Sheet2!$T$3:$V$92,3,FALSE)</f>
        <v>81</v>
      </c>
      <c r="H654" s="23" t="s">
        <v>68</v>
      </c>
      <c r="I654" s="23" t="s">
        <v>436</v>
      </c>
      <c r="J654" s="23">
        <v>2</v>
      </c>
      <c r="K654" s="6">
        <v>0.7</v>
      </c>
      <c r="L654" s="23" t="s">
        <v>1695</v>
      </c>
      <c r="M654" s="23"/>
      <c r="N654" s="23"/>
      <c r="O654" s="23" t="e">
        <f t="shared" si="115"/>
        <v>#VALUE!</v>
      </c>
      <c r="P654" s="23"/>
      <c r="Q654" s="23"/>
      <c r="R654" s="27"/>
      <c r="S654" s="27"/>
      <c r="T654" s="23">
        <v>50702285</v>
      </c>
      <c r="U654" s="28">
        <v>4210161674737</v>
      </c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 t="s">
        <v>39</v>
      </c>
      <c r="AN654" s="23" t="s">
        <v>58</v>
      </c>
      <c r="AO654" s="23"/>
      <c r="AP654" s="23"/>
      <c r="AQ654" s="23"/>
      <c r="AR654" s="23"/>
      <c r="AS654" s="23" t="str">
        <f t="shared" si="117"/>
        <v>Yes</v>
      </c>
      <c r="AT654" s="29" t="str">
        <f>IF(AM654="Matric",IF(AN654="Yes","Yes",IF(AN654="Under Process", "Under Process","No")),IF(AM654="Inter",IF(AO654="Yes","Yes",IF(AO654="Under Process", "Under Process","No")),IF(AM654="Bachelor",IF(AP654="Yes","Yes",IF(AP654="Under Process", "Under Process","No")),IF(AM654="Master",IF(AQ654="Yes","Yes",IF(AQ654="Under Process", "Under Process","No")),IF(AM654="Vacant",IF(D661="Yes","No","Vacant"),IF(AM654="NA",IF(D661="Yes","No","NA"),"No"))))))</f>
        <v>Yes</v>
      </c>
      <c r="AU654" s="30"/>
      <c r="AV654" s="31" t="s">
        <v>64</v>
      </c>
      <c r="AW654" s="31" t="s">
        <v>59</v>
      </c>
      <c r="AX654" s="2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</row>
    <row r="655" spans="1:74" x14ac:dyDescent="0.25">
      <c r="A655" s="25">
        <v>614</v>
      </c>
      <c r="B655" s="23" t="s">
        <v>1696</v>
      </c>
      <c r="C655" s="23" t="s">
        <v>1495</v>
      </c>
      <c r="D655" s="26" t="s">
        <v>1697</v>
      </c>
      <c r="E655" s="23">
        <v>7</v>
      </c>
      <c r="F655" s="23" t="s">
        <v>264</v>
      </c>
      <c r="G655" s="23">
        <f>VLOOKUP(C655,[2]Sheet2!$T$3:$V$92,3,FALSE)</f>
        <v>82</v>
      </c>
      <c r="H655" s="23" t="s">
        <v>68</v>
      </c>
      <c r="I655" s="23" t="s">
        <v>436</v>
      </c>
      <c r="J655" s="23">
        <v>1</v>
      </c>
      <c r="K655" s="6">
        <v>0.7</v>
      </c>
      <c r="L655" s="23" t="s">
        <v>1698</v>
      </c>
      <c r="M655" s="23"/>
      <c r="N655" s="23"/>
      <c r="O655" s="23" t="e">
        <f t="shared" si="115"/>
        <v>#VALUE!</v>
      </c>
      <c r="P655" s="23"/>
      <c r="Q655" s="23"/>
      <c r="R655" s="27"/>
      <c r="S655" s="27"/>
      <c r="T655" s="23">
        <v>50698943</v>
      </c>
      <c r="U655" s="28">
        <v>4220189686597</v>
      </c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 t="s">
        <v>39</v>
      </c>
      <c r="AN655" s="39" t="s">
        <v>58</v>
      </c>
      <c r="AO655" s="23"/>
      <c r="AP655" s="23"/>
      <c r="AQ655" s="23"/>
      <c r="AR655" s="23"/>
      <c r="AS655" s="23" t="str">
        <f t="shared" si="117"/>
        <v>Yes</v>
      </c>
      <c r="AT655" s="29" t="str">
        <f>IF(AM655="Matric",IF(AN655="Yes","Yes",IF(AN655="Under Process", "Under Process","No")),IF(AM655="Inter",IF(AO655="Yes","Yes",IF(AO655="Under Process", "Under Process","No")),IF(AM655="Bachelor",IF(AP655="Yes","Yes",IF(AP655="Under Process", "Under Process","No")),IF(AM655="Master",IF(AQ655="Yes","Yes",IF(AQ655="Under Process", "Under Process","No")),IF(AM655="Vacant",IF(D663="Yes","No","Vacant"),IF(AM655="NA",IF(D663="Yes","No","NA"),"No"))))))</f>
        <v>Yes</v>
      </c>
      <c r="AU655" s="30"/>
      <c r="AV655" s="31"/>
      <c r="AW655" s="31" t="s">
        <v>59</v>
      </c>
      <c r="AX655" s="2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</row>
    <row r="656" spans="1:74" x14ac:dyDescent="0.25">
      <c r="A656" s="25">
        <v>628</v>
      </c>
      <c r="B656" s="23" t="s">
        <v>1699</v>
      </c>
      <c r="C656" s="23" t="s">
        <v>1499</v>
      </c>
      <c r="D656" s="26" t="s">
        <v>1700</v>
      </c>
      <c r="E656" s="23">
        <v>7</v>
      </c>
      <c r="F656" s="23" t="s">
        <v>264</v>
      </c>
      <c r="G656" s="23">
        <f>VLOOKUP(C656,[2]Sheet2!$T$3:$V$92,3,FALSE)</f>
        <v>83</v>
      </c>
      <c r="H656" s="23" t="s">
        <v>68</v>
      </c>
      <c r="I656" s="23" t="s">
        <v>436</v>
      </c>
      <c r="J656" s="23">
        <v>1</v>
      </c>
      <c r="K656" s="6">
        <v>0.62</v>
      </c>
      <c r="L656" s="23" t="s">
        <v>1701</v>
      </c>
      <c r="M656" s="23"/>
      <c r="N656" s="23"/>
      <c r="O656" s="23" t="e">
        <f t="shared" si="115"/>
        <v>#VALUE!</v>
      </c>
      <c r="P656" s="23"/>
      <c r="Q656" s="23"/>
      <c r="R656" s="27"/>
      <c r="S656" s="27"/>
      <c r="T656" s="23">
        <v>10460932</v>
      </c>
      <c r="U656" s="28">
        <v>4250177725403</v>
      </c>
      <c r="V656" s="23"/>
      <c r="W656" s="23" t="s">
        <v>208</v>
      </c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 t="s">
        <v>73</v>
      </c>
      <c r="AN656" s="23"/>
      <c r="AO656" s="23"/>
      <c r="AP656" s="23"/>
      <c r="AQ656" s="23"/>
      <c r="AR656" s="23"/>
      <c r="AS656" s="23" t="str">
        <f t="shared" si="117"/>
        <v>No</v>
      </c>
      <c r="AT656" s="29" t="str">
        <f>IF(AM656="Matric",IF(AN656="Yes","Yes",IF(AN656="Under Process", "Under Process","No")),IF(AM656="Inter",IF(AO656="Yes","Yes",IF(AO656="Under Process", "Under Process","No")),IF(AM656="Bachelor",IF(AP656="Yes","Yes",IF(AP656="Under Process", "Under Process","No")),IF(AM656="Master",IF(AQ656="Yes","Yes",IF(AQ656="Under Process", "Under Process","No")),IF(AM656="Vacant",IF(D664="Yes","No","Vacant"),IF(AM656="NA",IF(D664="Yes","No","NA"),"No"))))))</f>
        <v>NA</v>
      </c>
      <c r="AU656" s="30"/>
      <c r="AV656" s="31"/>
      <c r="AW656" s="31"/>
      <c r="AX656" s="2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</row>
    <row r="657" spans="1:74" x14ac:dyDescent="0.25">
      <c r="A657" s="25">
        <v>643</v>
      </c>
      <c r="B657" s="23" t="s">
        <v>1702</v>
      </c>
      <c r="C657" s="23" t="s">
        <v>1505</v>
      </c>
      <c r="D657" s="26" t="s">
        <v>1703</v>
      </c>
      <c r="E657" s="23">
        <v>7</v>
      </c>
      <c r="F657" s="23" t="s">
        <v>264</v>
      </c>
      <c r="G657" s="23">
        <f>VLOOKUP(C657,[2]Sheet2!$T$3:$V$92,3,FALSE)</f>
        <v>84</v>
      </c>
      <c r="H657" s="23" t="s">
        <v>68</v>
      </c>
      <c r="I657" s="23" t="s">
        <v>436</v>
      </c>
      <c r="J657" s="23">
        <v>1</v>
      </c>
      <c r="K657" s="6">
        <v>0.8</v>
      </c>
      <c r="L657" s="23" t="s">
        <v>1704</v>
      </c>
      <c r="M657" s="23"/>
      <c r="N657" s="23"/>
      <c r="O657" s="23" t="e">
        <f t="shared" si="115"/>
        <v>#VALUE!</v>
      </c>
      <c r="P657" s="23"/>
      <c r="Q657" s="23"/>
      <c r="R657" s="27"/>
      <c r="S657" s="27"/>
      <c r="T657" s="23">
        <v>50698691</v>
      </c>
      <c r="U657" s="28">
        <v>4230154747571</v>
      </c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 t="s">
        <v>40</v>
      </c>
      <c r="AN657" s="32" t="s">
        <v>58</v>
      </c>
      <c r="AO657" s="23" t="s">
        <v>58</v>
      </c>
      <c r="AP657" s="23"/>
      <c r="AQ657" s="23"/>
      <c r="AR657" s="23"/>
      <c r="AS657" s="23" t="str">
        <f t="shared" si="117"/>
        <v>Yes</v>
      </c>
      <c r="AT657" s="29" t="str">
        <f>IF(AM657="Matric",IF(AN657="Yes","Yes",IF(AN657="Under Process", "Under Process","No")),IF(AM657="Inter",IF(AO657="Yes","Yes",IF(AO657="Under Process", "Under Process","No")),IF(AM657="Bachelor",IF(AP657="Yes","Yes",IF(AP657="Under Process", "Under Process","No")),IF(AM657="Master",IF(AQ657="Yes","Yes",IF(AQ657="Under Process", "Under Process","No")),IF(AM657="Vacant",IF(D665="Yes","No","Vacant"),IF(AM657="NA",IF(D665="Yes","No","NA"),"No"))))))</f>
        <v>Yes</v>
      </c>
      <c r="AU657" s="30"/>
      <c r="AV657" s="31" t="s">
        <v>64</v>
      </c>
      <c r="AW657" s="31" t="s">
        <v>59</v>
      </c>
      <c r="AX657" s="2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</row>
    <row r="658" spans="1:74" ht="28.5" x14ac:dyDescent="0.25">
      <c r="A658" s="25">
        <v>657</v>
      </c>
      <c r="B658" s="23" t="s">
        <v>1705</v>
      </c>
      <c r="C658" s="23" t="s">
        <v>1533</v>
      </c>
      <c r="D658" s="26" t="s">
        <v>1706</v>
      </c>
      <c r="E658" s="23">
        <v>7</v>
      </c>
      <c r="F658" s="23" t="s">
        <v>264</v>
      </c>
      <c r="G658" s="23">
        <f>VLOOKUP(C658,[2]Sheet2!$T$3:$V$92,3,FALSE)</f>
        <v>85</v>
      </c>
      <c r="H658" s="23" t="s">
        <v>68</v>
      </c>
      <c r="I658" s="23" t="s">
        <v>436</v>
      </c>
      <c r="J658" s="23"/>
      <c r="K658" s="6">
        <v>0</v>
      </c>
      <c r="L658" s="23"/>
      <c r="M658" s="23"/>
      <c r="N658" s="23" t="s">
        <v>1644</v>
      </c>
      <c r="O658" s="23" t="str">
        <f t="shared" si="115"/>
        <v>0 Years, 7 Months, 23 Days</v>
      </c>
      <c r="P658" s="23"/>
      <c r="Q658" s="23" t="s">
        <v>1541</v>
      </c>
      <c r="R658" s="27"/>
      <c r="S658" s="27"/>
      <c r="T658" s="23">
        <v>10451433</v>
      </c>
      <c r="U658" s="28">
        <v>4240126092169</v>
      </c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 t="s">
        <v>73</v>
      </c>
      <c r="AN658" s="23"/>
      <c r="AO658" s="23"/>
      <c r="AP658" s="23"/>
      <c r="AQ658" s="23"/>
      <c r="AR658" s="23"/>
      <c r="AS658" s="23" t="str">
        <f t="shared" si="117"/>
        <v>No</v>
      </c>
      <c r="AT658" s="29" t="str">
        <f>IF(AM658="Matric",IF(AN658="Yes","Yes",IF(AN658="Under Process", "Under Process","No")),IF(AM658="Inter",IF(AO658="Yes","Yes",IF(AO658="Under Process", "Under Process","No")),IF(AM658="Bachelor",IF(AP658="Yes","Yes",IF(AP658="Under Process", "Under Process","No")),IF(AM658="Master",IF(AQ658="Yes","Yes",IF(AQ658="Under Process", "Under Process","No")),IF(AM658="Vacant",IF(D666="Yes","No","Vacant"),IF(AM658="NA",IF(D666="Yes","No","NA"),"No"))))))</f>
        <v>NA</v>
      </c>
      <c r="AU658" s="30"/>
      <c r="AV658" s="31" t="s">
        <v>64</v>
      </c>
      <c r="AW658" s="31"/>
      <c r="AX658" s="2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</row>
    <row r="659" spans="1:74" ht="28.5" x14ac:dyDescent="0.25">
      <c r="A659" s="25">
        <v>671</v>
      </c>
      <c r="B659" s="23" t="s">
        <v>1707</v>
      </c>
      <c r="C659" s="23" t="s">
        <v>1512</v>
      </c>
      <c r="D659" s="26" t="s">
        <v>827</v>
      </c>
      <c r="E659" s="23">
        <v>7</v>
      </c>
      <c r="F659" s="23" t="s">
        <v>264</v>
      </c>
      <c r="G659" s="23">
        <f>VLOOKUP(C659,[2]Sheet2!$T$3:$V$92,3,FALSE)</f>
        <v>86</v>
      </c>
      <c r="H659" s="23" t="s">
        <v>68</v>
      </c>
      <c r="I659" s="23" t="s">
        <v>436</v>
      </c>
      <c r="J659" s="23">
        <v>1</v>
      </c>
      <c r="K659" s="6">
        <v>0.7</v>
      </c>
      <c r="L659" s="23" t="s">
        <v>111</v>
      </c>
      <c r="M659" s="23"/>
      <c r="N659" s="23" t="s">
        <v>95</v>
      </c>
      <c r="O659" s="23" t="str">
        <f t="shared" si="115"/>
        <v>1 Year</v>
      </c>
      <c r="P659" s="23"/>
      <c r="Q659" s="23" t="s">
        <v>1541</v>
      </c>
      <c r="R659" s="27"/>
      <c r="S659" s="27"/>
      <c r="T659" s="23">
        <v>10275444</v>
      </c>
      <c r="U659" s="28">
        <v>4240162907015</v>
      </c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 t="s">
        <v>73</v>
      </c>
      <c r="AN659" s="23"/>
      <c r="AO659" s="23"/>
      <c r="AP659" s="23"/>
      <c r="AQ659" s="23"/>
      <c r="AR659" s="23"/>
      <c r="AS659" s="23" t="str">
        <f t="shared" si="117"/>
        <v>No</v>
      </c>
      <c r="AT659" s="29" t="str">
        <f>IF(AM659="Matric",IF(AN659="Yes","Yes",IF(AN659="Under Process", "Under Process","No")),IF(AM659="Inter",IF(AO659="Yes","Yes",IF(AO659="Under Process", "Under Process","No")),IF(AM659="Bachelor",IF(AP659="Yes","Yes",IF(AP659="Under Process", "Under Process","No")),IF(AM659="Master",IF(AQ659="Yes","Yes",IF(AQ659="Under Process", "Under Process","No")),IF(AM659="Vacant",IF(D667="Yes","No","Vacant"),IF(AM659="NA",IF(D667="Yes","No","NA"),"No"))))))</f>
        <v>NA</v>
      </c>
      <c r="AU659" s="30"/>
      <c r="AV659" s="31" t="s">
        <v>64</v>
      </c>
      <c r="AW659" s="31" t="s">
        <v>59</v>
      </c>
      <c r="AX659" s="2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</row>
    <row r="660" spans="1:74" x14ac:dyDescent="0.25">
      <c r="A660" s="25">
        <v>684</v>
      </c>
      <c r="B660" s="23" t="s">
        <v>1708</v>
      </c>
      <c r="C660" s="23" t="s">
        <v>1517</v>
      </c>
      <c r="D660" s="26" t="s">
        <v>1031</v>
      </c>
      <c r="E660" s="23">
        <v>7</v>
      </c>
      <c r="F660" s="23" t="s">
        <v>264</v>
      </c>
      <c r="G660" s="23">
        <f>VLOOKUP(C660,[2]Sheet2!$T$3:$V$92,3,FALSE)</f>
        <v>87</v>
      </c>
      <c r="H660" s="23" t="s">
        <v>68</v>
      </c>
      <c r="I660" s="23" t="s">
        <v>436</v>
      </c>
      <c r="J660" s="23">
        <v>2</v>
      </c>
      <c r="K660" s="6">
        <v>0.6</v>
      </c>
      <c r="L660" s="23" t="s">
        <v>111</v>
      </c>
      <c r="M660" s="23"/>
      <c r="N660" s="23"/>
      <c r="O660" s="23" t="e">
        <f t="shared" si="115"/>
        <v>#VALUE!</v>
      </c>
      <c r="P660" s="23"/>
      <c r="Q660" s="23"/>
      <c r="R660" s="27"/>
      <c r="S660" s="27"/>
      <c r="T660" s="23">
        <v>50222788</v>
      </c>
      <c r="U660" s="28">
        <v>4210186436967</v>
      </c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 t="s">
        <v>73</v>
      </c>
      <c r="AN660" s="23"/>
      <c r="AO660" s="23"/>
      <c r="AP660" s="23"/>
      <c r="AQ660" s="23"/>
      <c r="AR660" s="23"/>
      <c r="AS660" s="23" t="str">
        <f t="shared" si="117"/>
        <v>No</v>
      </c>
      <c r="AT660" s="29" t="e">
        <f>IF(AM660="Matric",IF(AN660="Yes","Yes",IF(AN660="Under Process", "Under Process","No")),IF(AM660="Inter",IF(AO660="Yes","Yes",IF(AO660="Under Process", "Under Process","No")),IF(AM660="Bachelor",IF(AP660="Yes","Yes",IF(AP660="Under Process", "Under Process","No")),IF(AM660="Master",IF(AQ660="Yes","Yes",IF(AQ660="Under Process", "Under Process","No")),IF(AM660="Vacant",IF(#REF!="Yes","No","Vacant"),IF(AM660="NA",IF(#REF!="Yes","No","NA"),"No"))))))</f>
        <v>#REF!</v>
      </c>
      <c r="AU660" s="30"/>
      <c r="AV660" s="31" t="s">
        <v>64</v>
      </c>
      <c r="AW660" s="31" t="s">
        <v>59</v>
      </c>
      <c r="AX660" s="2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</row>
    <row r="661" spans="1:74" x14ac:dyDescent="0.25">
      <c r="A661" s="25">
        <v>584</v>
      </c>
      <c r="B661" s="23" t="s">
        <v>1709</v>
      </c>
      <c r="C661" s="23" t="s">
        <v>1478</v>
      </c>
      <c r="D661" s="26" t="s">
        <v>1710</v>
      </c>
      <c r="E661" s="23">
        <v>5</v>
      </c>
      <c r="F661" s="23" t="s">
        <v>264</v>
      </c>
      <c r="G661" s="23">
        <f>VLOOKUP(C661,[2]Sheet2!$T$3:$V$92,3,FALSE)</f>
        <v>79</v>
      </c>
      <c r="H661" s="23" t="s">
        <v>68</v>
      </c>
      <c r="I661" s="23" t="s">
        <v>436</v>
      </c>
      <c r="J661" s="23"/>
      <c r="K661" s="6">
        <v>0</v>
      </c>
      <c r="L661" s="23"/>
      <c r="M661" s="23"/>
      <c r="N661" s="23"/>
      <c r="O661" s="23" t="e">
        <f t="shared" si="115"/>
        <v>#VALUE!</v>
      </c>
      <c r="P661" s="23"/>
      <c r="Q661" s="23"/>
      <c r="R661" s="27"/>
      <c r="S661" s="27"/>
      <c r="T661" s="23"/>
      <c r="U661" s="28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 t="s">
        <v>39</v>
      </c>
      <c r="AN661" s="32" t="s">
        <v>58</v>
      </c>
      <c r="AO661" s="23"/>
      <c r="AP661" s="23"/>
      <c r="AQ661" s="23"/>
      <c r="AR661" s="23"/>
      <c r="AS661" s="23" t="str">
        <f t="shared" si="117"/>
        <v>Yes</v>
      </c>
      <c r="AT661" s="29" t="str">
        <f t="shared" ref="AT661:AT689" si="119">IF(AM661="Matric",IF(AN661="Yes","Yes",IF(AN661="Under Process", "Under Process","No")),IF(AM661="Inter",IF(AO661="Yes","Yes",IF(AO661="Under Process", "Under Process","No")),IF(AM661="Bachelor",IF(AP661="Yes","Yes",IF(AP661="Under Process", "Under Process","No")),IF(AM661="Master",IF(AQ661="Yes","Yes",IF(AQ661="Under Process", "Under Process","No")),IF(AM661="Vacant",IF(D669="Yes","No","Vacant"),IF(AM661="NA",IF(D669="Yes","No","NA"),"No"))))))</f>
        <v>Yes</v>
      </c>
      <c r="AU661" s="30"/>
      <c r="AV661" s="31"/>
      <c r="AW661" s="31"/>
      <c r="AX661" s="2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</row>
    <row r="662" spans="1:74" x14ac:dyDescent="0.25">
      <c r="A662" s="25">
        <v>629</v>
      </c>
      <c r="B662" s="23" t="s">
        <v>1711</v>
      </c>
      <c r="C662" s="23" t="s">
        <v>1499</v>
      </c>
      <c r="D662" s="26" t="s">
        <v>1712</v>
      </c>
      <c r="E662" s="23">
        <v>5</v>
      </c>
      <c r="F662" s="23" t="s">
        <v>71</v>
      </c>
      <c r="G662" s="23">
        <f>VLOOKUP(C662,[2]Sheet2!$T$3:$V$92,3,FALSE)</f>
        <v>83</v>
      </c>
      <c r="H662" s="23" t="s">
        <v>68</v>
      </c>
      <c r="I662" s="23" t="s">
        <v>436</v>
      </c>
      <c r="J662" s="23">
        <v>2</v>
      </c>
      <c r="K662" s="6">
        <v>0.5</v>
      </c>
      <c r="L662" s="23" t="s">
        <v>111</v>
      </c>
      <c r="M662" s="23"/>
      <c r="N662" s="23"/>
      <c r="O662" s="23" t="e">
        <f t="shared" si="115"/>
        <v>#VALUE!</v>
      </c>
      <c r="P662" s="23"/>
      <c r="Q662" s="23"/>
      <c r="R662" s="27"/>
      <c r="S662" s="27"/>
      <c r="T662" s="23">
        <v>10112059</v>
      </c>
      <c r="U662" s="28">
        <v>4210154402203</v>
      </c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 t="s">
        <v>73</v>
      </c>
      <c r="AN662" s="23"/>
      <c r="AO662" s="23"/>
      <c r="AP662" s="23"/>
      <c r="AQ662" s="23"/>
      <c r="AR662" s="23"/>
      <c r="AS662" s="23" t="str">
        <f t="shared" si="117"/>
        <v>No</v>
      </c>
      <c r="AT662" s="29" t="str">
        <f t="shared" si="119"/>
        <v>NA</v>
      </c>
      <c r="AU662" s="30"/>
      <c r="AV662" s="31" t="s">
        <v>64</v>
      </c>
      <c r="AW662" s="31"/>
      <c r="AX662" s="2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</row>
    <row r="663" spans="1:74" x14ac:dyDescent="0.25">
      <c r="A663" s="25">
        <v>644</v>
      </c>
      <c r="B663" s="23" t="s">
        <v>1713</v>
      </c>
      <c r="C663" s="23" t="s">
        <v>1505</v>
      </c>
      <c r="D663" s="26" t="s">
        <v>87</v>
      </c>
      <c r="E663" s="23">
        <v>5</v>
      </c>
      <c r="F663" s="23" t="s">
        <v>71</v>
      </c>
      <c r="G663" s="23">
        <f>VLOOKUP(C663,[2]Sheet2!$T$3:$V$92,3,FALSE)</f>
        <v>84</v>
      </c>
      <c r="H663" s="23" t="s">
        <v>68</v>
      </c>
      <c r="I663" s="23" t="s">
        <v>436</v>
      </c>
      <c r="J663" s="23">
        <v>1</v>
      </c>
      <c r="K663" s="6">
        <v>0.6</v>
      </c>
      <c r="L663" s="23" t="s">
        <v>111</v>
      </c>
      <c r="M663" s="23"/>
      <c r="N663" s="23"/>
      <c r="O663" s="23" t="e">
        <f t="shared" si="115"/>
        <v>#VALUE!</v>
      </c>
      <c r="P663" s="23"/>
      <c r="Q663" s="23"/>
      <c r="R663" s="27"/>
      <c r="S663" s="27"/>
      <c r="T663" s="23">
        <v>10112337</v>
      </c>
      <c r="U663" s="28">
        <v>4220174077417</v>
      </c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 t="s">
        <v>73</v>
      </c>
      <c r="AN663" s="23"/>
      <c r="AO663" s="23"/>
      <c r="AP663" s="23"/>
      <c r="AQ663" s="23"/>
      <c r="AR663" s="23"/>
      <c r="AS663" s="23" t="str">
        <f t="shared" si="117"/>
        <v>No</v>
      </c>
      <c r="AT663" s="29" t="str">
        <f t="shared" si="119"/>
        <v>NA</v>
      </c>
      <c r="AU663" s="30"/>
      <c r="AV663" s="31" t="s">
        <v>64</v>
      </c>
      <c r="AW663" s="31" t="s">
        <v>59</v>
      </c>
      <c r="AX663" s="2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</row>
    <row r="664" spans="1:74" x14ac:dyDescent="0.25">
      <c r="A664" s="25">
        <v>645</v>
      </c>
      <c r="B664" s="23" t="s">
        <v>1714</v>
      </c>
      <c r="C664" s="23" t="s">
        <v>1505</v>
      </c>
      <c r="D664" s="26" t="s">
        <v>1715</v>
      </c>
      <c r="E664" s="23">
        <v>5</v>
      </c>
      <c r="F664" s="23" t="s">
        <v>71</v>
      </c>
      <c r="G664" s="23">
        <f>VLOOKUP(C664,[2]Sheet2!$T$3:$V$92,3,FALSE)</f>
        <v>84</v>
      </c>
      <c r="H664" s="23" t="s">
        <v>68</v>
      </c>
      <c r="I664" s="23" t="s">
        <v>436</v>
      </c>
      <c r="J664" s="23">
        <v>3</v>
      </c>
      <c r="K664" s="6">
        <v>0.3</v>
      </c>
      <c r="L664" s="23" t="s">
        <v>1716</v>
      </c>
      <c r="M664" s="23"/>
      <c r="N664" s="23"/>
      <c r="O664" s="23" t="e">
        <f t="shared" si="115"/>
        <v>#VALUE!</v>
      </c>
      <c r="P664" s="23"/>
      <c r="Q664" s="23"/>
      <c r="R664" s="27"/>
      <c r="S664" s="27"/>
      <c r="T664" s="23">
        <v>10112121</v>
      </c>
      <c r="U664" s="28">
        <v>4210190061585</v>
      </c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 t="s">
        <v>39</v>
      </c>
      <c r="AN664" s="39" t="s">
        <v>58</v>
      </c>
      <c r="AO664" s="23"/>
      <c r="AP664" s="23"/>
      <c r="AQ664" s="23"/>
      <c r="AR664" s="23"/>
      <c r="AS664" s="23" t="str">
        <f t="shared" si="117"/>
        <v>Yes</v>
      </c>
      <c r="AT664" s="29" t="str">
        <f t="shared" si="119"/>
        <v>Yes</v>
      </c>
      <c r="AU664" s="30"/>
      <c r="AV664" s="31" t="s">
        <v>64</v>
      </c>
      <c r="AW664" s="31" t="s">
        <v>59</v>
      </c>
      <c r="AX664" s="2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</row>
    <row r="665" spans="1:74" x14ac:dyDescent="0.25">
      <c r="A665" s="25">
        <v>658</v>
      </c>
      <c r="B665" s="23" t="s">
        <v>1717</v>
      </c>
      <c r="C665" s="23" t="s">
        <v>1533</v>
      </c>
      <c r="D665" s="26" t="s">
        <v>1718</v>
      </c>
      <c r="E665" s="23">
        <v>5</v>
      </c>
      <c r="F665" s="23" t="s">
        <v>161</v>
      </c>
      <c r="G665" s="23">
        <f>VLOOKUP(C665,[2]Sheet2!$T$3:$V$92,3,FALSE)</f>
        <v>85</v>
      </c>
      <c r="H665" s="23" t="s">
        <v>68</v>
      </c>
      <c r="I665" s="23" t="s">
        <v>436</v>
      </c>
      <c r="J665" s="23">
        <v>2</v>
      </c>
      <c r="K665" s="6">
        <v>0.7</v>
      </c>
      <c r="L665" s="23" t="s">
        <v>1719</v>
      </c>
      <c r="M665" s="63" t="s">
        <v>163</v>
      </c>
      <c r="N665" s="63"/>
      <c r="O665" s="23" t="e">
        <f t="shared" si="115"/>
        <v>#VALUE!</v>
      </c>
      <c r="P665" s="63"/>
      <c r="Q665" s="63"/>
      <c r="R665" s="64">
        <v>36641</v>
      </c>
      <c r="S665" s="64">
        <v>39804</v>
      </c>
      <c r="T665" s="23">
        <v>10112201</v>
      </c>
      <c r="U665" s="28">
        <v>4240104073233</v>
      </c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 t="s">
        <v>39</v>
      </c>
      <c r="AN665" s="32" t="s">
        <v>58</v>
      </c>
      <c r="AO665" s="23"/>
      <c r="AP665" s="23"/>
      <c r="AQ665" s="23"/>
      <c r="AR665" s="23"/>
      <c r="AS665" s="23" t="str">
        <f t="shared" si="117"/>
        <v>Yes</v>
      </c>
      <c r="AT665" s="29" t="str">
        <f t="shared" si="119"/>
        <v>Yes</v>
      </c>
      <c r="AU665" s="30"/>
      <c r="AV665" s="31" t="s">
        <v>64</v>
      </c>
      <c r="AW665" s="31"/>
      <c r="AX665" s="2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</row>
    <row r="666" spans="1:74" x14ac:dyDescent="0.25">
      <c r="A666" s="25">
        <v>585</v>
      </c>
      <c r="B666" s="23" t="s">
        <v>1720</v>
      </c>
      <c r="C666" s="23" t="s">
        <v>1478</v>
      </c>
      <c r="D666" s="26" t="s">
        <v>1721</v>
      </c>
      <c r="E666" s="23">
        <v>4</v>
      </c>
      <c r="F666" s="23" t="s">
        <v>161</v>
      </c>
      <c r="G666" s="23">
        <f>VLOOKUP(C666,[2]Sheet2!$T$3:$V$92,3,FALSE)</f>
        <v>79</v>
      </c>
      <c r="H666" s="23" t="s">
        <v>68</v>
      </c>
      <c r="I666" s="23" t="s">
        <v>436</v>
      </c>
      <c r="J666" s="23">
        <v>3</v>
      </c>
      <c r="K666" s="6">
        <v>0.5</v>
      </c>
      <c r="L666" s="23" t="s">
        <v>1722</v>
      </c>
      <c r="M666" s="63" t="s">
        <v>175</v>
      </c>
      <c r="N666" s="63"/>
      <c r="O666" s="23" t="e">
        <f t="shared" si="115"/>
        <v>#VALUE!</v>
      </c>
      <c r="P666" s="63"/>
      <c r="Q666" s="63"/>
      <c r="R666" s="64">
        <v>38657</v>
      </c>
      <c r="S666" s="64">
        <v>38972</v>
      </c>
      <c r="T666" s="23">
        <v>10260493</v>
      </c>
      <c r="U666" s="28">
        <v>4220106091057</v>
      </c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 t="s">
        <v>39</v>
      </c>
      <c r="AN666" s="32" t="s">
        <v>58</v>
      </c>
      <c r="AO666" s="23"/>
      <c r="AP666" s="23"/>
      <c r="AQ666" s="23"/>
      <c r="AR666" s="23"/>
      <c r="AS666" s="23" t="str">
        <f t="shared" si="117"/>
        <v>Yes</v>
      </c>
      <c r="AT666" s="29" t="str">
        <f t="shared" si="119"/>
        <v>Yes</v>
      </c>
      <c r="AU666" s="30"/>
      <c r="AV666" s="31" t="s">
        <v>64</v>
      </c>
      <c r="AW666" s="31" t="s">
        <v>59</v>
      </c>
      <c r="AX666" s="2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</row>
    <row r="667" spans="1:74" x14ac:dyDescent="0.25">
      <c r="A667" s="25">
        <v>589</v>
      </c>
      <c r="B667" s="23" t="s">
        <v>1723</v>
      </c>
      <c r="C667" s="23" t="s">
        <v>1509</v>
      </c>
      <c r="D667" s="26" t="s">
        <v>1724</v>
      </c>
      <c r="E667" s="23">
        <v>4</v>
      </c>
      <c r="F667" s="23" t="s">
        <v>161</v>
      </c>
      <c r="G667" s="23">
        <f>VLOOKUP(C667,[2]Sheet2!$T$3:$V$92,3,FALSE)</f>
        <v>80</v>
      </c>
      <c r="H667" s="23" t="s">
        <v>68</v>
      </c>
      <c r="I667" s="23" t="s">
        <v>436</v>
      </c>
      <c r="J667" s="23">
        <v>1</v>
      </c>
      <c r="K667" s="6">
        <v>0.6</v>
      </c>
      <c r="L667" s="23" t="s">
        <v>111</v>
      </c>
      <c r="M667" s="63" t="s">
        <v>167</v>
      </c>
      <c r="N667" s="63"/>
      <c r="O667" s="23" t="e">
        <f t="shared" si="115"/>
        <v>#VALUE!</v>
      </c>
      <c r="P667" s="63"/>
      <c r="Q667" s="63"/>
      <c r="R667" s="64">
        <v>41456</v>
      </c>
      <c r="S667" s="64">
        <v>45555</v>
      </c>
      <c r="T667" s="23">
        <v>50187765</v>
      </c>
      <c r="U667" s="28">
        <v>4220124241395</v>
      </c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 t="s">
        <v>40</v>
      </c>
      <c r="AN667" s="32" t="s">
        <v>58</v>
      </c>
      <c r="AO667" s="32" t="s">
        <v>58</v>
      </c>
      <c r="AP667" s="23"/>
      <c r="AQ667" s="23"/>
      <c r="AR667" s="23"/>
      <c r="AS667" s="23" t="str">
        <f t="shared" si="117"/>
        <v>Yes</v>
      </c>
      <c r="AT667" s="29" t="str">
        <f t="shared" si="119"/>
        <v>Yes</v>
      </c>
      <c r="AU667" s="30"/>
      <c r="AV667" s="31" t="s">
        <v>64</v>
      </c>
      <c r="AW667" s="31" t="s">
        <v>59</v>
      </c>
      <c r="AX667" s="2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</row>
    <row r="668" spans="1:74" x14ac:dyDescent="0.25">
      <c r="A668" s="25">
        <v>35</v>
      </c>
      <c r="B668" s="23" t="s">
        <v>1725</v>
      </c>
      <c r="C668" s="23" t="s">
        <v>1489</v>
      </c>
      <c r="D668" s="26" t="s">
        <v>1726</v>
      </c>
      <c r="E668" s="23">
        <v>4</v>
      </c>
      <c r="F668" s="23" t="s">
        <v>161</v>
      </c>
      <c r="G668" s="23">
        <f>VLOOKUP(C668,[2]Sheet2!$T$3:$V$92,3,FALSE)</f>
        <v>81</v>
      </c>
      <c r="H668" s="23" t="s">
        <v>68</v>
      </c>
      <c r="I668" s="23" t="s">
        <v>436</v>
      </c>
      <c r="J668" s="23">
        <v>3</v>
      </c>
      <c r="K668" s="6">
        <v>0.7</v>
      </c>
      <c r="L668" s="23" t="s">
        <v>135</v>
      </c>
      <c r="M668" s="23" t="s">
        <v>163</v>
      </c>
      <c r="N668" s="23"/>
      <c r="O668" s="23" t="e">
        <f t="shared" si="115"/>
        <v>#VALUE!</v>
      </c>
      <c r="P668" s="23"/>
      <c r="Q668" s="23"/>
      <c r="R668" s="27">
        <v>39767</v>
      </c>
      <c r="S668" s="27">
        <v>44927</v>
      </c>
      <c r="T668" s="23">
        <v>10458406</v>
      </c>
      <c r="U668" s="28">
        <v>4240134078835</v>
      </c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 t="s">
        <v>73</v>
      </c>
      <c r="AN668" s="23"/>
      <c r="AO668" s="23"/>
      <c r="AP668" s="23"/>
      <c r="AQ668" s="23"/>
      <c r="AR668" s="23"/>
      <c r="AS668" s="23" t="str">
        <f t="shared" si="117"/>
        <v>No</v>
      </c>
      <c r="AT668" s="29" t="str">
        <f t="shared" si="119"/>
        <v>NA</v>
      </c>
      <c r="AU668" s="30"/>
      <c r="AV668" s="31" t="s">
        <v>64</v>
      </c>
      <c r="AW668" s="31"/>
      <c r="AX668" s="2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</row>
    <row r="669" spans="1:74" ht="28.5" x14ac:dyDescent="0.25">
      <c r="A669" s="25">
        <v>603</v>
      </c>
      <c r="B669" s="23" t="s">
        <v>1727</v>
      </c>
      <c r="C669" s="23" t="s">
        <v>1489</v>
      </c>
      <c r="D669" s="26" t="s">
        <v>1728</v>
      </c>
      <c r="E669" s="23">
        <v>4</v>
      </c>
      <c r="F669" s="23" t="s">
        <v>71</v>
      </c>
      <c r="G669" s="23">
        <f>VLOOKUP(C669,[2]Sheet2!$T$3:$V$92,3,FALSE)</f>
        <v>81</v>
      </c>
      <c r="H669" s="23" t="s">
        <v>68</v>
      </c>
      <c r="I669" s="23" t="s">
        <v>436</v>
      </c>
      <c r="J669" s="23">
        <v>1</v>
      </c>
      <c r="K669" s="6">
        <v>0.6</v>
      </c>
      <c r="L669" s="23" t="s">
        <v>1729</v>
      </c>
      <c r="M669" s="23"/>
      <c r="N669" s="23"/>
      <c r="O669" s="23" t="e">
        <f t="shared" si="115"/>
        <v>#VALUE!</v>
      </c>
      <c r="P669" s="23"/>
      <c r="Q669" s="23"/>
      <c r="R669" s="27"/>
      <c r="S669" s="27"/>
      <c r="T669" s="23">
        <v>50706236</v>
      </c>
      <c r="U669" s="28">
        <v>4250124606993</v>
      </c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 t="s">
        <v>40</v>
      </c>
      <c r="AN669" s="23" t="s">
        <v>58</v>
      </c>
      <c r="AO669" s="32" t="s">
        <v>58</v>
      </c>
      <c r="AP669" s="23" t="s">
        <v>58</v>
      </c>
      <c r="AQ669" s="23"/>
      <c r="AR669" s="23"/>
      <c r="AS669" s="23" t="str">
        <f t="shared" si="117"/>
        <v>Yes</v>
      </c>
      <c r="AT669" s="29" t="str">
        <f t="shared" si="119"/>
        <v>Yes</v>
      </c>
      <c r="AU669" s="30"/>
      <c r="AV669" s="31" t="s">
        <v>64</v>
      </c>
      <c r="AW669" s="31"/>
      <c r="AX669" s="2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</row>
    <row r="670" spans="1:74" x14ac:dyDescent="0.25">
      <c r="A670" s="25">
        <v>615</v>
      </c>
      <c r="B670" s="23" t="s">
        <v>1730</v>
      </c>
      <c r="C670" s="23" t="s">
        <v>1495</v>
      </c>
      <c r="D670" s="26" t="s">
        <v>1731</v>
      </c>
      <c r="E670" s="23">
        <v>4</v>
      </c>
      <c r="F670" s="23" t="s">
        <v>161</v>
      </c>
      <c r="G670" s="23">
        <f>VLOOKUP(C670,[2]Sheet2!$T$3:$V$92,3,FALSE)</f>
        <v>82</v>
      </c>
      <c r="H670" s="23" t="s">
        <v>68</v>
      </c>
      <c r="I670" s="23" t="s">
        <v>436</v>
      </c>
      <c r="J670" s="23">
        <v>1</v>
      </c>
      <c r="K670" s="6">
        <v>0.5</v>
      </c>
      <c r="L670" s="23" t="s">
        <v>1732</v>
      </c>
      <c r="M670" s="43" t="s">
        <v>182</v>
      </c>
      <c r="N670" s="43"/>
      <c r="O670" s="23" t="e">
        <f t="shared" si="115"/>
        <v>#VALUE!</v>
      </c>
      <c r="P670" s="43"/>
      <c r="Q670" s="43"/>
      <c r="R670" s="44">
        <v>38790</v>
      </c>
      <c r="S670" s="44">
        <v>43878</v>
      </c>
      <c r="T670" s="23">
        <v>10248747</v>
      </c>
      <c r="U670" s="28">
        <v>4240182318187</v>
      </c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 t="s">
        <v>73</v>
      </c>
      <c r="AN670" s="23"/>
      <c r="AO670" s="23"/>
      <c r="AP670" s="23"/>
      <c r="AQ670" s="23"/>
      <c r="AR670" s="23"/>
      <c r="AS670" s="23" t="str">
        <f t="shared" si="117"/>
        <v>No</v>
      </c>
      <c r="AT670" s="29" t="str">
        <f t="shared" si="119"/>
        <v>NA</v>
      </c>
      <c r="AU670" s="30"/>
      <c r="AV670" s="31" t="s">
        <v>64</v>
      </c>
      <c r="AW670" s="31"/>
      <c r="AX670" s="2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</row>
    <row r="671" spans="1:74" x14ac:dyDescent="0.25">
      <c r="A671" s="25">
        <v>616</v>
      </c>
      <c r="B671" s="23" t="s">
        <v>1733</v>
      </c>
      <c r="C671" s="23" t="s">
        <v>1495</v>
      </c>
      <c r="D671" s="26" t="s">
        <v>1734</v>
      </c>
      <c r="E671" s="23">
        <v>4</v>
      </c>
      <c r="F671" s="23" t="s">
        <v>71</v>
      </c>
      <c r="G671" s="23">
        <f>VLOOKUP(C671,[2]Sheet2!$T$3:$V$92,3,FALSE)</f>
        <v>82</v>
      </c>
      <c r="H671" s="23" t="s">
        <v>68</v>
      </c>
      <c r="I671" s="23" t="s">
        <v>436</v>
      </c>
      <c r="J671" s="23">
        <v>1</v>
      </c>
      <c r="K671" s="6">
        <v>0.7</v>
      </c>
      <c r="L671" s="23" t="s">
        <v>111</v>
      </c>
      <c r="M671" s="23"/>
      <c r="N671" s="23"/>
      <c r="O671" s="23" t="e">
        <f t="shared" si="115"/>
        <v>#VALUE!</v>
      </c>
      <c r="P671" s="23"/>
      <c r="Q671" s="23"/>
      <c r="R671" s="27"/>
      <c r="S671" s="27"/>
      <c r="T671" s="23">
        <v>50698942</v>
      </c>
      <c r="U671" s="28">
        <v>4220138165005</v>
      </c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 t="s">
        <v>40</v>
      </c>
      <c r="AN671" s="32" t="s">
        <v>58</v>
      </c>
      <c r="AO671" s="32" t="s">
        <v>58</v>
      </c>
      <c r="AP671" s="23"/>
      <c r="AQ671" s="23"/>
      <c r="AR671" s="23"/>
      <c r="AS671" s="23" t="str">
        <f t="shared" si="117"/>
        <v>Yes</v>
      </c>
      <c r="AT671" s="29" t="str">
        <f t="shared" si="119"/>
        <v>Yes</v>
      </c>
      <c r="AU671" s="30"/>
      <c r="AV671" s="31" t="s">
        <v>64</v>
      </c>
      <c r="AW671" s="31" t="s">
        <v>59</v>
      </c>
      <c r="AX671" s="2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</row>
    <row r="672" spans="1:74" x14ac:dyDescent="0.25">
      <c r="A672" s="25">
        <v>631</v>
      </c>
      <c r="B672" s="23" t="s">
        <v>1735</v>
      </c>
      <c r="C672" s="23" t="s">
        <v>1499</v>
      </c>
      <c r="D672" s="26" t="s">
        <v>1736</v>
      </c>
      <c r="E672" s="23">
        <v>4</v>
      </c>
      <c r="F672" s="23" t="s">
        <v>161</v>
      </c>
      <c r="G672" s="23">
        <f>VLOOKUP(C672,[2]Sheet2!$T$3:$V$92,3,FALSE)</f>
        <v>83</v>
      </c>
      <c r="H672" s="23" t="s">
        <v>68</v>
      </c>
      <c r="I672" s="23" t="s">
        <v>436</v>
      </c>
      <c r="J672" s="23">
        <v>3</v>
      </c>
      <c r="K672" s="6">
        <v>0.65</v>
      </c>
      <c r="L672" s="23" t="s">
        <v>1737</v>
      </c>
      <c r="M672" s="43" t="s">
        <v>188</v>
      </c>
      <c r="N672" s="43"/>
      <c r="O672" s="23" t="e">
        <f t="shared" si="115"/>
        <v>#VALUE!</v>
      </c>
      <c r="P672" s="43"/>
      <c r="Q672" s="43"/>
      <c r="R672" s="44">
        <v>42082</v>
      </c>
      <c r="S672" s="44">
        <v>45638</v>
      </c>
      <c r="T672" s="23">
        <v>50217036</v>
      </c>
      <c r="U672" s="28">
        <v>4210164806013</v>
      </c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 t="s">
        <v>41</v>
      </c>
      <c r="AN672" s="23" t="s">
        <v>58</v>
      </c>
      <c r="AO672" s="23" t="s">
        <v>58</v>
      </c>
      <c r="AP672" s="32" t="s">
        <v>58</v>
      </c>
      <c r="AQ672" s="23"/>
      <c r="AR672" s="23"/>
      <c r="AS672" s="23" t="str">
        <f t="shared" si="117"/>
        <v>Yes</v>
      </c>
      <c r="AT672" s="29" t="str">
        <f t="shared" si="119"/>
        <v>Yes</v>
      </c>
      <c r="AU672" s="30"/>
      <c r="AV672" s="31" t="s">
        <v>64</v>
      </c>
      <c r="AW672" s="31"/>
      <c r="AX672" s="2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</row>
    <row r="673" spans="1:74" x14ac:dyDescent="0.25">
      <c r="A673" s="25">
        <v>630</v>
      </c>
      <c r="B673" s="23" t="s">
        <v>1738</v>
      </c>
      <c r="C673" s="23" t="s">
        <v>1499</v>
      </c>
      <c r="D673" s="26" t="s">
        <v>1739</v>
      </c>
      <c r="E673" s="23">
        <v>4</v>
      </c>
      <c r="F673" s="23" t="s">
        <v>161</v>
      </c>
      <c r="G673" s="23">
        <f>VLOOKUP(C673,[2]Sheet2!$T$3:$V$92,3,FALSE)</f>
        <v>83</v>
      </c>
      <c r="H673" s="23" t="s">
        <v>68</v>
      </c>
      <c r="I673" s="23" t="s">
        <v>436</v>
      </c>
      <c r="J673" s="23">
        <v>2</v>
      </c>
      <c r="K673" s="6">
        <v>0.5</v>
      </c>
      <c r="L673" s="23" t="s">
        <v>1732</v>
      </c>
      <c r="M673" s="43" t="s">
        <v>188</v>
      </c>
      <c r="N673" s="43"/>
      <c r="O673" s="23" t="e">
        <f t="shared" si="115"/>
        <v>#VALUE!</v>
      </c>
      <c r="P673" s="43"/>
      <c r="Q673" s="43"/>
      <c r="R673" s="44">
        <v>41456</v>
      </c>
      <c r="S673" s="44">
        <v>41456</v>
      </c>
      <c r="T673" s="23">
        <v>50187612</v>
      </c>
      <c r="U673" s="28">
        <v>4210170751815</v>
      </c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 t="s">
        <v>39</v>
      </c>
      <c r="AN673" s="32" t="s">
        <v>58</v>
      </c>
      <c r="AO673" s="23"/>
      <c r="AP673" s="23"/>
      <c r="AQ673" s="23"/>
      <c r="AR673" s="23"/>
      <c r="AS673" s="23" t="str">
        <f t="shared" si="117"/>
        <v>Yes</v>
      </c>
      <c r="AT673" s="29" t="str">
        <f t="shared" si="119"/>
        <v>Yes</v>
      </c>
      <c r="AU673" s="30"/>
      <c r="AV673" s="31" t="s">
        <v>64</v>
      </c>
      <c r="AW673" s="31"/>
      <c r="AX673" s="2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</row>
    <row r="674" spans="1:74" x14ac:dyDescent="0.25">
      <c r="A674" s="25">
        <v>632</v>
      </c>
      <c r="B674" s="23" t="s">
        <v>1740</v>
      </c>
      <c r="C674" s="23" t="s">
        <v>1499</v>
      </c>
      <c r="D674" s="26" t="s">
        <v>1741</v>
      </c>
      <c r="E674" s="23">
        <v>4</v>
      </c>
      <c r="F674" s="23" t="s">
        <v>71</v>
      </c>
      <c r="G674" s="23">
        <f>VLOOKUP(C674,[2]Sheet2!$T$3:$V$92,3,FALSE)</f>
        <v>83</v>
      </c>
      <c r="H674" s="23" t="s">
        <v>68</v>
      </c>
      <c r="I674" s="23" t="s">
        <v>436</v>
      </c>
      <c r="J674" s="23">
        <v>1</v>
      </c>
      <c r="K674" s="6">
        <v>0.6</v>
      </c>
      <c r="L674" s="23" t="s">
        <v>111</v>
      </c>
      <c r="M674" s="23"/>
      <c r="N674" s="23"/>
      <c r="O674" s="23" t="e">
        <f t="shared" si="115"/>
        <v>#VALUE!</v>
      </c>
      <c r="P674" s="23"/>
      <c r="Q674" s="23"/>
      <c r="R674" s="27"/>
      <c r="S674" s="27"/>
      <c r="T674" s="23">
        <v>50220122</v>
      </c>
      <c r="U674" s="28">
        <v>4220157126035</v>
      </c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 t="s">
        <v>73</v>
      </c>
      <c r="AN674" s="23"/>
      <c r="AO674" s="23"/>
      <c r="AP674" s="23"/>
      <c r="AQ674" s="23"/>
      <c r="AR674" s="23"/>
      <c r="AS674" s="23" t="str">
        <f t="shared" si="117"/>
        <v>No</v>
      </c>
      <c r="AT674" s="29" t="str">
        <f t="shared" si="119"/>
        <v>NA</v>
      </c>
      <c r="AU674" s="30"/>
      <c r="AV674" s="31" t="s">
        <v>64</v>
      </c>
      <c r="AW674" s="31"/>
      <c r="AX674" s="2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</row>
    <row r="675" spans="1:74" x14ac:dyDescent="0.25">
      <c r="A675" s="25">
        <v>647</v>
      </c>
      <c r="B675" s="23" t="s">
        <v>1742</v>
      </c>
      <c r="C675" s="23" t="s">
        <v>1505</v>
      </c>
      <c r="D675" s="26" t="s">
        <v>1743</v>
      </c>
      <c r="E675" s="23">
        <v>4</v>
      </c>
      <c r="F675" s="23" t="s">
        <v>161</v>
      </c>
      <c r="G675" s="23">
        <f>VLOOKUP(C675,[2]Sheet2!$T$3:$V$92,3,FALSE)</f>
        <v>84</v>
      </c>
      <c r="H675" s="23" t="s">
        <v>68</v>
      </c>
      <c r="I675" s="23" t="s">
        <v>436</v>
      </c>
      <c r="J675" s="23">
        <v>2</v>
      </c>
      <c r="K675" s="6">
        <v>0.6</v>
      </c>
      <c r="L675" s="23" t="s">
        <v>111</v>
      </c>
      <c r="M675" s="43" t="s">
        <v>163</v>
      </c>
      <c r="N675" s="43"/>
      <c r="O675" s="23" t="e">
        <f t="shared" si="115"/>
        <v>#VALUE!</v>
      </c>
      <c r="P675" s="43"/>
      <c r="Q675" s="43"/>
      <c r="R675" s="44">
        <v>41982</v>
      </c>
      <c r="S675" s="44">
        <v>41982</v>
      </c>
      <c r="T675" s="23">
        <v>50211409</v>
      </c>
      <c r="U675" s="28">
        <v>4240198413735</v>
      </c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 t="s">
        <v>39</v>
      </c>
      <c r="AN675" s="32" t="s">
        <v>58</v>
      </c>
      <c r="AO675" s="23"/>
      <c r="AP675" s="23"/>
      <c r="AQ675" s="23"/>
      <c r="AR675" s="23"/>
      <c r="AS675" s="23" t="str">
        <f t="shared" si="117"/>
        <v>Yes</v>
      </c>
      <c r="AT675" s="29" t="str">
        <f t="shared" si="119"/>
        <v>Yes</v>
      </c>
      <c r="AU675" s="30"/>
      <c r="AV675" s="31" t="s">
        <v>64</v>
      </c>
      <c r="AW675" s="31" t="s">
        <v>59</v>
      </c>
      <c r="AX675" s="2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</row>
    <row r="676" spans="1:74" x14ac:dyDescent="0.25">
      <c r="A676" s="25">
        <v>646</v>
      </c>
      <c r="B676" s="23" t="s">
        <v>1744</v>
      </c>
      <c r="C676" s="23" t="s">
        <v>1505</v>
      </c>
      <c r="D676" s="26" t="s">
        <v>1745</v>
      </c>
      <c r="E676" s="23">
        <v>4</v>
      </c>
      <c r="F676" s="23" t="s">
        <v>161</v>
      </c>
      <c r="G676" s="23">
        <f>VLOOKUP(C676,[2]Sheet2!$T$3:$V$92,3,FALSE)</f>
        <v>84</v>
      </c>
      <c r="H676" s="23" t="s">
        <v>68</v>
      </c>
      <c r="I676" s="23" t="s">
        <v>436</v>
      </c>
      <c r="J676" s="23"/>
      <c r="K676" s="6">
        <v>0</v>
      </c>
      <c r="L676" s="23"/>
      <c r="M676" s="63" t="s">
        <v>167</v>
      </c>
      <c r="N676" s="63"/>
      <c r="O676" s="23" t="e">
        <f t="shared" si="115"/>
        <v>#VALUE!</v>
      </c>
      <c r="P676" s="63"/>
      <c r="Q676" s="63"/>
      <c r="R676" s="64">
        <v>42094</v>
      </c>
      <c r="S676" s="64">
        <v>42094</v>
      </c>
      <c r="T676" s="23">
        <v>50220228</v>
      </c>
      <c r="U676" s="28">
        <v>4210176068067</v>
      </c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 t="s">
        <v>39</v>
      </c>
      <c r="AN676" s="23" t="s">
        <v>58</v>
      </c>
      <c r="AO676" s="23"/>
      <c r="AP676" s="23"/>
      <c r="AQ676" s="23"/>
      <c r="AR676" s="23"/>
      <c r="AS676" s="23" t="str">
        <f t="shared" si="117"/>
        <v>Yes</v>
      </c>
      <c r="AT676" s="29" t="str">
        <f t="shared" si="119"/>
        <v>Yes</v>
      </c>
      <c r="AU676" s="30"/>
      <c r="AV676" s="31" t="s">
        <v>64</v>
      </c>
      <c r="AW676" s="31"/>
      <c r="AX676" s="2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</row>
    <row r="677" spans="1:74" x14ac:dyDescent="0.25">
      <c r="A677" s="25">
        <v>660</v>
      </c>
      <c r="B677" s="23" t="s">
        <v>1746</v>
      </c>
      <c r="C677" s="23" t="s">
        <v>1533</v>
      </c>
      <c r="D677" s="26" t="s">
        <v>1747</v>
      </c>
      <c r="E677" s="23">
        <v>4</v>
      </c>
      <c r="F677" s="23" t="s">
        <v>71</v>
      </c>
      <c r="G677" s="23">
        <f>VLOOKUP(C677,[2]Sheet2!$T$3:$V$92,3,FALSE)</f>
        <v>85</v>
      </c>
      <c r="H677" s="23" t="s">
        <v>68</v>
      </c>
      <c r="I677" s="23" t="s">
        <v>436</v>
      </c>
      <c r="J677" s="23">
        <v>3</v>
      </c>
      <c r="K677" s="6">
        <v>0.6</v>
      </c>
      <c r="L677" s="23" t="s">
        <v>1748</v>
      </c>
      <c r="M677" s="23"/>
      <c r="N677" s="23"/>
      <c r="O677" s="23" t="e">
        <f t="shared" si="115"/>
        <v>#VALUE!</v>
      </c>
      <c r="P677" s="23"/>
      <c r="Q677" s="23"/>
      <c r="R677" s="27"/>
      <c r="S677" s="27"/>
      <c r="T677" s="23">
        <v>50173186</v>
      </c>
      <c r="U677" s="28">
        <v>4220172309165</v>
      </c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 t="s">
        <v>39</v>
      </c>
      <c r="AN677" s="23" t="s">
        <v>189</v>
      </c>
      <c r="AO677" s="23"/>
      <c r="AP677" s="23"/>
      <c r="AQ677" s="23"/>
      <c r="AR677" s="23"/>
      <c r="AS677" s="23" t="str">
        <f t="shared" si="117"/>
        <v>Incomplete</v>
      </c>
      <c r="AT677" s="29" t="str">
        <f t="shared" si="119"/>
        <v>No</v>
      </c>
      <c r="AU677" s="30"/>
      <c r="AV677" s="31" t="s">
        <v>64</v>
      </c>
      <c r="AW677" s="31"/>
      <c r="AX677" s="2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</row>
    <row r="678" spans="1:74" x14ac:dyDescent="0.25">
      <c r="A678" s="25">
        <v>111</v>
      </c>
      <c r="B678" s="23" t="s">
        <v>1749</v>
      </c>
      <c r="C678" s="23" t="s">
        <v>1512</v>
      </c>
      <c r="D678" s="26" t="s">
        <v>66</v>
      </c>
      <c r="E678" s="23">
        <v>14</v>
      </c>
      <c r="F678" s="23" t="s">
        <v>108</v>
      </c>
      <c r="G678" s="23">
        <f>VLOOKUP(C678,[2]Sheet2!$T$3:$V$92,3,FALSE)</f>
        <v>86</v>
      </c>
      <c r="H678" s="23" t="s">
        <v>68</v>
      </c>
      <c r="I678" s="23" t="s">
        <v>436</v>
      </c>
      <c r="J678" s="23" t="e">
        <v>#N/A</v>
      </c>
      <c r="K678" s="6" t="e">
        <v>#N/A</v>
      </c>
      <c r="L678" s="23" t="e">
        <v>#N/A</v>
      </c>
      <c r="M678" s="23"/>
      <c r="N678" s="23"/>
      <c r="O678" s="23" t="e">
        <f t="shared" si="115"/>
        <v>#VALUE!</v>
      </c>
      <c r="P678" s="23"/>
      <c r="Q678" s="23"/>
      <c r="R678" s="27"/>
      <c r="S678" s="27"/>
      <c r="T678" s="23"/>
      <c r="U678" s="28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 t="s">
        <v>66</v>
      </c>
      <c r="AN678" s="23"/>
      <c r="AO678" s="23"/>
      <c r="AP678" s="23"/>
      <c r="AQ678" s="23"/>
      <c r="AR678" s="23"/>
      <c r="AS678" s="23" t="str">
        <f>IF(AND(AN678="Yes", AO678="Yes", AP678="Yes"), "Yes", IF(AND(AN678="", AO678="", AP678=""), "No", "Incomplete"))</f>
        <v>No</v>
      </c>
      <c r="AT678" s="29" t="str">
        <f t="shared" si="119"/>
        <v>Vacant</v>
      </c>
      <c r="AU678" s="30"/>
      <c r="AV678" s="31"/>
      <c r="AW678" s="31"/>
      <c r="AX678" s="2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</row>
    <row r="679" spans="1:74" ht="42.75" x14ac:dyDescent="0.25">
      <c r="A679" s="25">
        <v>661</v>
      </c>
      <c r="B679" s="23" t="s">
        <v>1750</v>
      </c>
      <c r="C679" s="23" t="s">
        <v>1533</v>
      </c>
      <c r="D679" s="26" t="s">
        <v>1751</v>
      </c>
      <c r="E679" s="23">
        <v>4</v>
      </c>
      <c r="F679" s="23" t="s">
        <v>71</v>
      </c>
      <c r="G679" s="23">
        <f>VLOOKUP(C679,[2]Sheet2!$T$3:$V$92,3,FALSE)</f>
        <v>85</v>
      </c>
      <c r="H679" s="23" t="s">
        <v>68</v>
      </c>
      <c r="I679" s="23" t="s">
        <v>436</v>
      </c>
      <c r="J679" s="23">
        <v>1</v>
      </c>
      <c r="K679" s="6">
        <v>0.7</v>
      </c>
      <c r="L679" s="23" t="s">
        <v>1752</v>
      </c>
      <c r="M679" s="23"/>
      <c r="N679" s="23"/>
      <c r="O679" s="23" t="e">
        <f t="shared" si="115"/>
        <v>#VALUE!</v>
      </c>
      <c r="P679" s="23"/>
      <c r="Q679" s="23"/>
      <c r="R679" s="27"/>
      <c r="S679" s="27"/>
      <c r="T679" s="23">
        <v>50699218</v>
      </c>
      <c r="U679" s="28">
        <v>4240114512276</v>
      </c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 t="s">
        <v>40</v>
      </c>
      <c r="AN679" s="32" t="s">
        <v>58</v>
      </c>
      <c r="AO679" s="32" t="s">
        <v>58</v>
      </c>
      <c r="AP679" s="23" t="s">
        <v>1753</v>
      </c>
      <c r="AQ679" s="23"/>
      <c r="AR679" s="23"/>
      <c r="AS679" s="23" t="str">
        <f t="shared" ref="AS679:AS689" si="120">IF(AND(AN679="Yes"), "Yes", IF(AND(AN679=""), "No", "Incomplete"))</f>
        <v>Yes</v>
      </c>
      <c r="AT679" s="29" t="str">
        <f t="shared" si="119"/>
        <v>Yes</v>
      </c>
      <c r="AU679" s="30"/>
      <c r="AV679" s="31" t="s">
        <v>64</v>
      </c>
      <c r="AW679" s="31"/>
      <c r="AX679" s="2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</row>
    <row r="680" spans="1:74" x14ac:dyDescent="0.25">
      <c r="A680" s="25">
        <v>672</v>
      </c>
      <c r="B680" s="23" t="s">
        <v>1754</v>
      </c>
      <c r="C680" s="23" t="s">
        <v>1512</v>
      </c>
      <c r="D680" s="26" t="s">
        <v>1755</v>
      </c>
      <c r="E680" s="23">
        <v>4</v>
      </c>
      <c r="F680" s="23" t="s">
        <v>161</v>
      </c>
      <c r="G680" s="23">
        <f>VLOOKUP(C680,[2]Sheet2!$T$3:$V$92,3,FALSE)</f>
        <v>86</v>
      </c>
      <c r="H680" s="23" t="s">
        <v>68</v>
      </c>
      <c r="I680" s="23" t="s">
        <v>436</v>
      </c>
      <c r="J680" s="23">
        <v>1</v>
      </c>
      <c r="K680" s="6">
        <v>0.8</v>
      </c>
      <c r="L680" s="23" t="s">
        <v>1704</v>
      </c>
      <c r="M680" s="43" t="s">
        <v>175</v>
      </c>
      <c r="N680" s="43"/>
      <c r="O680" s="23" t="e">
        <f t="shared" si="115"/>
        <v>#VALUE!</v>
      </c>
      <c r="P680" s="43"/>
      <c r="Q680" s="43"/>
      <c r="R680" s="44">
        <v>41456</v>
      </c>
      <c r="S680" s="44">
        <v>43881</v>
      </c>
      <c r="T680" s="23">
        <v>50188854</v>
      </c>
      <c r="U680" s="28">
        <v>4210113894481</v>
      </c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 t="s">
        <v>39</v>
      </c>
      <c r="AN680" s="23" t="s">
        <v>58</v>
      </c>
      <c r="AO680" s="23"/>
      <c r="AP680" s="23"/>
      <c r="AQ680" s="23"/>
      <c r="AR680" s="23"/>
      <c r="AS680" s="23" t="str">
        <f t="shared" si="120"/>
        <v>Yes</v>
      </c>
      <c r="AT680" s="29" t="str">
        <f t="shared" si="119"/>
        <v>Yes</v>
      </c>
      <c r="AU680" s="30"/>
      <c r="AV680" s="31" t="s">
        <v>64</v>
      </c>
      <c r="AW680" s="31" t="s">
        <v>59</v>
      </c>
      <c r="AX680" s="2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</row>
    <row r="681" spans="1:74" x14ac:dyDescent="0.25">
      <c r="A681" s="25">
        <v>673</v>
      </c>
      <c r="B681" s="23" t="s">
        <v>1756</v>
      </c>
      <c r="C681" s="23" t="s">
        <v>1512</v>
      </c>
      <c r="D681" s="26" t="s">
        <v>1757</v>
      </c>
      <c r="E681" s="23">
        <v>4</v>
      </c>
      <c r="F681" s="23" t="s">
        <v>71</v>
      </c>
      <c r="G681" s="23">
        <f>VLOOKUP(C681,[2]Sheet2!$T$3:$V$92,3,FALSE)</f>
        <v>86</v>
      </c>
      <c r="H681" s="23" t="s">
        <v>68</v>
      </c>
      <c r="I681" s="23" t="s">
        <v>436</v>
      </c>
      <c r="J681" s="23">
        <v>3</v>
      </c>
      <c r="K681" s="6">
        <v>0.75</v>
      </c>
      <c r="L681" s="23" t="s">
        <v>1758</v>
      </c>
      <c r="M681" s="23"/>
      <c r="N681" s="23"/>
      <c r="O681" s="23" t="e">
        <f t="shared" si="115"/>
        <v>#VALUE!</v>
      </c>
      <c r="P681" s="23"/>
      <c r="Q681" s="23"/>
      <c r="R681" s="27"/>
      <c r="S681" s="27"/>
      <c r="T681" s="23">
        <v>50699283</v>
      </c>
      <c r="U681" s="28">
        <v>4230165942964</v>
      </c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 t="s">
        <v>39</v>
      </c>
      <c r="AN681" s="23" t="s">
        <v>58</v>
      </c>
      <c r="AO681" s="23"/>
      <c r="AP681" s="23"/>
      <c r="AQ681" s="23"/>
      <c r="AR681" s="23"/>
      <c r="AS681" s="23" t="str">
        <f t="shared" si="120"/>
        <v>Yes</v>
      </c>
      <c r="AT681" s="29" t="str">
        <f t="shared" si="119"/>
        <v>Yes</v>
      </c>
      <c r="AU681" s="30"/>
      <c r="AV681" s="31"/>
      <c r="AW681" s="31" t="s">
        <v>59</v>
      </c>
      <c r="AX681" s="2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</row>
    <row r="682" spans="1:74" x14ac:dyDescent="0.25">
      <c r="A682" s="25">
        <v>685</v>
      </c>
      <c r="B682" s="23" t="s">
        <v>1759</v>
      </c>
      <c r="C682" s="23" t="s">
        <v>1517</v>
      </c>
      <c r="D682" s="26" t="s">
        <v>1760</v>
      </c>
      <c r="E682" s="23">
        <v>4</v>
      </c>
      <c r="F682" s="23" t="s">
        <v>161</v>
      </c>
      <c r="G682" s="23">
        <f>VLOOKUP(C682,[2]Sheet2!$T$3:$V$92,3,FALSE)</f>
        <v>87</v>
      </c>
      <c r="H682" s="23" t="s">
        <v>68</v>
      </c>
      <c r="I682" s="23" t="s">
        <v>436</v>
      </c>
      <c r="J682" s="23">
        <v>3</v>
      </c>
      <c r="K682" s="6">
        <v>0.7</v>
      </c>
      <c r="L682" s="23" t="s">
        <v>1761</v>
      </c>
      <c r="M682" s="63" t="s">
        <v>163</v>
      </c>
      <c r="N682" s="63"/>
      <c r="O682" s="23" t="e">
        <f t="shared" ref="O682:O687" si="121">IF(DATEVALUE(MID(N682,15,10))-DATEVALUE(LEFT(N682,10))+1&gt;=365,"1 Year",
DATEDIF(DATEVALUE(LEFT(N682,10)),DATEVALUE(MID(N682,15,10)),"Y")&amp;" Years, "&amp;DATEDIF(DATEVALUE(LEFT(N682,10)),DATEVALUE(MID(N682,15,10)),"YM")&amp;" Months, "&amp;DATEDIF(DATEVALUE(LEFT(N682,10)),DATEVALUE(MID(N682,15,10)),"MD")&amp;" Days")</f>
        <v>#VALUE!</v>
      </c>
      <c r="P682" s="63"/>
      <c r="Q682" s="63"/>
      <c r="R682" s="64">
        <v>42079</v>
      </c>
      <c r="S682" s="64">
        <v>45667</v>
      </c>
      <c r="T682" s="23">
        <v>50213951</v>
      </c>
      <c r="U682" s="28">
        <v>4240180601679</v>
      </c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 t="s">
        <v>73</v>
      </c>
      <c r="AN682" s="23"/>
      <c r="AO682" s="23"/>
      <c r="AP682" s="23"/>
      <c r="AQ682" s="23"/>
      <c r="AR682" s="23"/>
      <c r="AS682" s="23" t="str">
        <f t="shared" si="120"/>
        <v>No</v>
      </c>
      <c r="AT682" s="29" t="str">
        <f t="shared" si="119"/>
        <v>NA</v>
      </c>
      <c r="AU682" s="30"/>
      <c r="AV682" s="31" t="s">
        <v>64</v>
      </c>
      <c r="AW682" s="31" t="s">
        <v>59</v>
      </c>
      <c r="AX682" s="2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</row>
    <row r="683" spans="1:74" x14ac:dyDescent="0.25">
      <c r="A683" s="25">
        <v>686</v>
      </c>
      <c r="B683" s="23" t="s">
        <v>1762</v>
      </c>
      <c r="C683" s="23" t="s">
        <v>1517</v>
      </c>
      <c r="D683" s="26" t="s">
        <v>1763</v>
      </c>
      <c r="E683" s="23">
        <v>4</v>
      </c>
      <c r="F683" s="23" t="s">
        <v>71</v>
      </c>
      <c r="G683" s="23">
        <f>VLOOKUP(C683,[2]Sheet2!$T$3:$V$92,3,FALSE)</f>
        <v>87</v>
      </c>
      <c r="H683" s="23" t="s">
        <v>68</v>
      </c>
      <c r="I683" s="23" t="s">
        <v>436</v>
      </c>
      <c r="J683" s="23">
        <v>3</v>
      </c>
      <c r="K683" s="6">
        <v>0.68</v>
      </c>
      <c r="L683" s="23" t="s">
        <v>1764</v>
      </c>
      <c r="M683" s="23"/>
      <c r="N683" s="23"/>
      <c r="O683" s="23" t="e">
        <f t="shared" si="121"/>
        <v>#VALUE!</v>
      </c>
      <c r="P683" s="23"/>
      <c r="Q683" s="23"/>
      <c r="R683" s="27"/>
      <c r="S683" s="27"/>
      <c r="T683" s="23">
        <v>50700041</v>
      </c>
      <c r="U683" s="28">
        <v>4240158872507</v>
      </c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 t="s">
        <v>40</v>
      </c>
      <c r="AN683" s="23"/>
      <c r="AO683" s="32" t="s">
        <v>58</v>
      </c>
      <c r="AP683" s="23"/>
      <c r="AQ683" s="23"/>
      <c r="AR683" s="23"/>
      <c r="AS683" s="23" t="str">
        <f t="shared" si="120"/>
        <v>No</v>
      </c>
      <c r="AT683" s="29" t="str">
        <f t="shared" si="119"/>
        <v>Yes</v>
      </c>
      <c r="AU683" s="30"/>
      <c r="AV683" s="31" t="s">
        <v>64</v>
      </c>
      <c r="AW683" s="31" t="s">
        <v>59</v>
      </c>
      <c r="AX683" s="2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</row>
    <row r="684" spans="1:74" x14ac:dyDescent="0.25">
      <c r="A684" s="25">
        <v>591</v>
      </c>
      <c r="B684" s="23" t="s">
        <v>1765</v>
      </c>
      <c r="C684" s="23" t="s">
        <v>1478</v>
      </c>
      <c r="D684" s="26" t="s">
        <v>1766</v>
      </c>
      <c r="E684" s="23">
        <v>2</v>
      </c>
      <c r="F684" s="23" t="s">
        <v>71</v>
      </c>
      <c r="G684" s="23">
        <f>VLOOKUP(C684,[2]Sheet2!$T$3:$V$92,3,FALSE)</f>
        <v>79</v>
      </c>
      <c r="H684" s="23" t="s">
        <v>68</v>
      </c>
      <c r="I684" s="23" t="s">
        <v>436</v>
      </c>
      <c r="J684" s="23"/>
      <c r="K684" s="6">
        <v>0</v>
      </c>
      <c r="L684" s="23"/>
      <c r="M684" s="23"/>
      <c r="N684" s="23"/>
      <c r="O684" s="23" t="e">
        <f t="shared" si="121"/>
        <v>#VALUE!</v>
      </c>
      <c r="P684" s="23"/>
      <c r="Q684" s="23"/>
      <c r="R684" s="27"/>
      <c r="S684" s="27"/>
      <c r="T684" s="23"/>
      <c r="U684" s="28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>
        <v>2</v>
      </c>
      <c r="AI684" s="23"/>
      <c r="AJ684" s="23"/>
      <c r="AK684" s="23"/>
      <c r="AL684" s="23"/>
      <c r="AM684" s="23" t="s">
        <v>73</v>
      </c>
      <c r="AN684" s="23"/>
      <c r="AO684" s="23"/>
      <c r="AP684" s="23"/>
      <c r="AQ684" s="23"/>
      <c r="AR684" s="23"/>
      <c r="AS684" s="23" t="str">
        <f t="shared" si="120"/>
        <v>No</v>
      </c>
      <c r="AT684" s="29" t="str">
        <f t="shared" si="119"/>
        <v>NA</v>
      </c>
      <c r="AU684" s="30"/>
      <c r="AV684" s="31"/>
      <c r="AW684" s="31"/>
      <c r="AX684" s="2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</row>
    <row r="685" spans="1:74" x14ac:dyDescent="0.25">
      <c r="A685" s="25">
        <v>118</v>
      </c>
      <c r="B685" s="23" t="s">
        <v>1767</v>
      </c>
      <c r="C685" s="23" t="s">
        <v>1509</v>
      </c>
      <c r="D685" s="26" t="s">
        <v>1768</v>
      </c>
      <c r="E685" s="23">
        <v>2</v>
      </c>
      <c r="F685" s="23" t="s">
        <v>1769</v>
      </c>
      <c r="G685" s="23">
        <f>VLOOKUP(C685,[2]Sheet2!$T$3:$V$92,3,FALSE)</f>
        <v>80</v>
      </c>
      <c r="H685" s="23" t="s">
        <v>68</v>
      </c>
      <c r="I685" s="23" t="s">
        <v>436</v>
      </c>
      <c r="J685" s="23"/>
      <c r="K685" s="6">
        <v>0.63</v>
      </c>
      <c r="L685" s="23" t="s">
        <v>427</v>
      </c>
      <c r="M685" s="23"/>
      <c r="N685" s="23"/>
      <c r="O685" s="23" t="str">
        <f>IF(ISNUMBER(SEARCH("to", N685)),
_xlfn.LET(
    _xlpm.text_n3, N685,
    _xlpm.removed_docket, SUBSTITUTE(SUBSTITUTE(UPPER(_xlpm.text_n3), "DOCKET", ""), "DOCEKT", ""),
    _xlpm.clean_all, TRIM(CLEAN(_xlpm.removed_docket)),
    _xlpm.start_dt, DATEVALUE(LEFT(_xlpm.clean_all, 10)),
    _xlpm.end_dt, DATEVALUE(RIGHT(_xlpm.clean_all, 10)),
    _xlpm.total_days, (_xlpm.end_dt - _xlpm.start_dt),
    IF(_xlpm.total_days &gt;= 364,
        "1 Year",
        DATEDIF(_xlpm.start_dt, _xlpm.end_dt, "Y") &amp; " Years, " &amp;
        DATEDIF(_xlpm.start_dt, _xlpm.end_dt, "YM") &amp; " Months, " &amp;
        DATEDIF(_xlpm.start_dt, _xlpm.end_dt, "MD") &amp; " Days"
    )
), "")</f>
        <v/>
      </c>
      <c r="P685" s="23"/>
      <c r="Q685" s="23"/>
      <c r="R685" s="27"/>
      <c r="S685" s="27">
        <v>45936</v>
      </c>
      <c r="T685" s="23">
        <v>50751244</v>
      </c>
      <c r="U685" s="28">
        <v>4220190601575</v>
      </c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 t="s">
        <v>40</v>
      </c>
      <c r="AN685" s="32" t="s">
        <v>58</v>
      </c>
      <c r="AO685" s="32" t="s">
        <v>58</v>
      </c>
      <c r="AP685" s="23"/>
      <c r="AQ685" s="23"/>
      <c r="AR685" s="23"/>
      <c r="AS685" s="23" t="str">
        <f t="shared" si="120"/>
        <v>Yes</v>
      </c>
      <c r="AT685" s="29" t="str">
        <f t="shared" si="119"/>
        <v>Yes</v>
      </c>
      <c r="AU685" s="30"/>
      <c r="AV685" s="31"/>
      <c r="AW685" s="31" t="s">
        <v>59</v>
      </c>
      <c r="AX685" s="2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</row>
    <row r="686" spans="1:74" x14ac:dyDescent="0.25">
      <c r="A686" s="25">
        <v>604</v>
      </c>
      <c r="B686" s="23" t="s">
        <v>1770</v>
      </c>
      <c r="C686" s="23" t="s">
        <v>1489</v>
      </c>
      <c r="D686" s="26" t="s">
        <v>1771</v>
      </c>
      <c r="E686" s="23">
        <v>2</v>
      </c>
      <c r="F686" s="23" t="s">
        <v>71</v>
      </c>
      <c r="G686" s="23">
        <f>VLOOKUP(C686,[2]Sheet2!$T$3:$V$92,3,FALSE)</f>
        <v>81</v>
      </c>
      <c r="H686" s="23" t="s">
        <v>68</v>
      </c>
      <c r="I686" s="23" t="s">
        <v>436</v>
      </c>
      <c r="J686" s="23">
        <v>2</v>
      </c>
      <c r="K686" s="6">
        <v>0.6</v>
      </c>
      <c r="L686" s="23" t="s">
        <v>111</v>
      </c>
      <c r="M686" s="23"/>
      <c r="N686" s="23"/>
      <c r="O686" s="23" t="e">
        <f>IF(DATEVALUE(MID(N686,15,10))-DATEVALUE(LEFT(N686,10))+1&gt;=365,"1 Year",
DATEDIF(DATEVALUE(LEFT(N686,10)),DATEVALUE(MID(N686,15,10)),"Y")&amp;" Years, "&amp;DATEDIF(DATEVALUE(LEFT(N686,10)),DATEVALUE(MID(N686,15,10)),"YM")&amp;" Months, "&amp;DATEDIF(DATEVALUE(LEFT(N686,10)),DATEVALUE(MID(N686,15,10)),"MD")&amp;" Days")</f>
        <v>#VALUE!</v>
      </c>
      <c r="P686" s="23"/>
      <c r="Q686" s="23"/>
      <c r="R686" s="27"/>
      <c r="S686" s="27"/>
      <c r="T686" s="23">
        <v>50744001</v>
      </c>
      <c r="U686" s="28">
        <v>4250103012377</v>
      </c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 t="s">
        <v>42</v>
      </c>
      <c r="AN686" s="32" t="s">
        <v>58</v>
      </c>
      <c r="AO686" s="32" t="s">
        <v>58</v>
      </c>
      <c r="AP686" s="32" t="s">
        <v>58</v>
      </c>
      <c r="AQ686" s="32" t="s">
        <v>58</v>
      </c>
      <c r="AR686" s="23"/>
      <c r="AS686" s="23" t="str">
        <f t="shared" si="120"/>
        <v>Yes</v>
      </c>
      <c r="AT686" s="29" t="str">
        <f t="shared" si="119"/>
        <v>Yes</v>
      </c>
      <c r="AU686" s="30"/>
      <c r="AV686" s="31" t="s">
        <v>64</v>
      </c>
      <c r="AW686" s="31"/>
      <c r="AX686" s="2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</row>
    <row r="687" spans="1:74" x14ac:dyDescent="0.25">
      <c r="A687" s="25">
        <v>617</v>
      </c>
      <c r="B687" s="23" t="s">
        <v>1772</v>
      </c>
      <c r="C687" s="23" t="s">
        <v>1495</v>
      </c>
      <c r="D687" s="26" t="s">
        <v>1773</v>
      </c>
      <c r="E687" s="23">
        <v>2</v>
      </c>
      <c r="F687" s="23" t="s">
        <v>71</v>
      </c>
      <c r="G687" s="23">
        <f>VLOOKUP(C687,[2]Sheet2!$T$3:$V$92,3,FALSE)</f>
        <v>82</v>
      </c>
      <c r="H687" s="23" t="s">
        <v>68</v>
      </c>
      <c r="I687" s="23" t="s">
        <v>436</v>
      </c>
      <c r="J687" s="23"/>
      <c r="K687" s="6">
        <v>0</v>
      </c>
      <c r="L687" s="23"/>
      <c r="M687" s="23"/>
      <c r="N687" s="23"/>
      <c r="O687" s="23" t="e">
        <f>IF(DATEVALUE(MID(N687,15,10))-DATEVALUE(LEFT(N687,10))+1&gt;=365,"1 Year",
DATEDIF(DATEVALUE(LEFT(N687,10)),DATEVALUE(MID(N687,15,10)),"Y")&amp;" Years, "&amp;DATEDIF(DATEVALUE(LEFT(N687,10)),DATEVALUE(MID(N687,15,10)),"YM")&amp;" Months, "&amp;DATEDIF(DATEVALUE(LEFT(N687,10)),DATEVALUE(MID(N687,15,10)),"MD")&amp;" Days")</f>
        <v>#VALUE!</v>
      </c>
      <c r="P687" s="23"/>
      <c r="Q687" s="23"/>
      <c r="R687" s="27"/>
      <c r="S687" s="27"/>
      <c r="T687" s="23">
        <v>50749263</v>
      </c>
      <c r="U687" s="28" t="s">
        <v>1774</v>
      </c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 t="s">
        <v>40</v>
      </c>
      <c r="AN687" s="32" t="s">
        <v>58</v>
      </c>
      <c r="AO687" s="32" t="s">
        <v>58</v>
      </c>
      <c r="AP687" s="23"/>
      <c r="AQ687" s="23"/>
      <c r="AR687" s="23"/>
      <c r="AS687" s="23" t="str">
        <f t="shared" si="120"/>
        <v>Yes</v>
      </c>
      <c r="AT687" s="29" t="str">
        <f t="shared" si="119"/>
        <v>Yes</v>
      </c>
      <c r="AU687" s="30"/>
      <c r="AV687" s="31" t="s">
        <v>64</v>
      </c>
      <c r="AW687" s="31" t="s">
        <v>59</v>
      </c>
      <c r="AX687" s="2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</row>
    <row r="688" spans="1:74" x14ac:dyDescent="0.25">
      <c r="A688" s="25">
        <v>674</v>
      </c>
      <c r="B688" s="23" t="s">
        <v>1775</v>
      </c>
      <c r="C688" s="23" t="s">
        <v>1512</v>
      </c>
      <c r="D688" s="41" t="s">
        <v>1776</v>
      </c>
      <c r="E688" s="23">
        <v>2</v>
      </c>
      <c r="F688" s="23" t="s">
        <v>71</v>
      </c>
      <c r="G688" s="23">
        <f>VLOOKUP(C688,[2]Sheet2!$T$3:$V$92,3,FALSE)</f>
        <v>86</v>
      </c>
      <c r="H688" s="23" t="s">
        <v>68</v>
      </c>
      <c r="I688" s="23" t="s">
        <v>436</v>
      </c>
      <c r="J688" s="23">
        <v>4</v>
      </c>
      <c r="K688" s="6">
        <v>0.67</v>
      </c>
      <c r="L688" s="23" t="s">
        <v>1777</v>
      </c>
      <c r="M688" s="23"/>
      <c r="N688" s="23"/>
      <c r="O688" s="23" t="e">
        <f>IF(DATEVALUE(MID(N688,15,10))-DATEVALUE(LEFT(N688,10))+1&gt;=365,"1 Year",
DATEDIF(DATEVALUE(LEFT(N688,10)),DATEVALUE(MID(N688,15,10)),"Y")&amp;" Years, "&amp;DATEDIF(DATEVALUE(LEFT(N688,10)),DATEVALUE(MID(N688,15,10)),"YM")&amp;" Months, "&amp;DATEDIF(DATEVALUE(LEFT(N688,10)),DATEVALUE(MID(N688,15,10)),"MD")&amp;" Days")</f>
        <v>#VALUE!</v>
      </c>
      <c r="P688" s="23"/>
      <c r="Q688" s="23"/>
      <c r="R688" s="27"/>
      <c r="S688" s="27"/>
      <c r="T688" s="23"/>
      <c r="U688" s="28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 t="s">
        <v>39</v>
      </c>
      <c r="AN688" s="32" t="s">
        <v>58</v>
      </c>
      <c r="AO688" s="23"/>
      <c r="AP688" s="23"/>
      <c r="AQ688" s="23"/>
      <c r="AR688" s="23"/>
      <c r="AS688" s="23" t="str">
        <f t="shared" si="120"/>
        <v>Yes</v>
      </c>
      <c r="AT688" s="29" t="str">
        <f t="shared" si="119"/>
        <v>Yes</v>
      </c>
      <c r="AU688" s="30"/>
      <c r="AV688" s="31"/>
      <c r="AW688" s="31"/>
      <c r="AX688" s="2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</row>
    <row r="689" spans="1:74" x14ac:dyDescent="0.25">
      <c r="A689" s="25">
        <v>687</v>
      </c>
      <c r="B689" s="23" t="s">
        <v>1778</v>
      </c>
      <c r="C689" s="23" t="s">
        <v>1517</v>
      </c>
      <c r="D689" s="26" t="s">
        <v>1779</v>
      </c>
      <c r="E689" s="23">
        <v>2</v>
      </c>
      <c r="F689" s="23" t="s">
        <v>71</v>
      </c>
      <c r="G689" s="23">
        <f>VLOOKUP(C689,[2]Sheet2!$T$3:$V$92,3,FALSE)</f>
        <v>87</v>
      </c>
      <c r="H689" s="23" t="s">
        <v>68</v>
      </c>
      <c r="I689" s="23" t="s">
        <v>436</v>
      </c>
      <c r="J689" s="23">
        <v>2</v>
      </c>
      <c r="K689" s="6">
        <v>0.72</v>
      </c>
      <c r="L689" s="23" t="s">
        <v>1780</v>
      </c>
      <c r="M689" s="23"/>
      <c r="N689" s="23"/>
      <c r="O689" s="23" t="e">
        <f>IF(DATEVALUE(MID(N689,15,10))-DATEVALUE(LEFT(N689,10))+1&gt;=365,"1 Year",
DATEDIF(DATEVALUE(LEFT(N689,10)),DATEVALUE(MID(N689,15,10)),"Y")&amp;" Years, "&amp;DATEDIF(DATEVALUE(LEFT(N689,10)),DATEVALUE(MID(N689,15,10)),"YM")&amp;" Months, "&amp;DATEDIF(DATEVALUE(LEFT(N689,10)),DATEVALUE(MID(N689,15,10)),"MD")&amp;" Days")</f>
        <v>#VALUE!</v>
      </c>
      <c r="P689" s="23"/>
      <c r="Q689" s="23"/>
      <c r="R689" s="27"/>
      <c r="S689" s="27"/>
      <c r="T689" s="23"/>
      <c r="U689" s="28">
        <v>4210164268188</v>
      </c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 t="s">
        <v>39</v>
      </c>
      <c r="AN689" s="39" t="s">
        <v>58</v>
      </c>
      <c r="AO689" s="23"/>
      <c r="AP689" s="23"/>
      <c r="AQ689" s="23"/>
      <c r="AR689" s="23"/>
      <c r="AS689" s="23" t="str">
        <f t="shared" si="120"/>
        <v>Yes</v>
      </c>
      <c r="AT689" s="29" t="str">
        <f t="shared" si="119"/>
        <v>Yes</v>
      </c>
      <c r="AU689" s="30"/>
      <c r="AV689" s="31" t="s">
        <v>64</v>
      </c>
      <c r="AW689" s="31" t="s">
        <v>59</v>
      </c>
      <c r="AX689" s="2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</row>
    <row r="692" spans="1:74" x14ac:dyDescent="0.25">
      <c r="B692" s="3"/>
    </row>
    <row r="693" spans="1:74" x14ac:dyDescent="0.25">
      <c r="B693" s="3"/>
    </row>
    <row r="694" spans="1:74" x14ac:dyDescent="0.25">
      <c r="B694" s="3"/>
    </row>
    <row r="695" spans="1:74" x14ac:dyDescent="0.25">
      <c r="B695" s="3"/>
    </row>
    <row r="696" spans="1:74" x14ac:dyDescent="0.25">
      <c r="B696" s="3"/>
      <c r="N696" t="s">
        <v>1781</v>
      </c>
    </row>
    <row r="697" spans="1:74" x14ac:dyDescent="0.25">
      <c r="B697" s="3"/>
    </row>
    <row r="698" spans="1:74" x14ac:dyDescent="0.25">
      <c r="B698" s="3"/>
    </row>
    <row r="699" spans="1:74" x14ac:dyDescent="0.25">
      <c r="B699" s="3"/>
    </row>
    <row r="700" spans="1:74" x14ac:dyDescent="0.25">
      <c r="B700" s="3"/>
    </row>
    <row r="701" spans="1:74" x14ac:dyDescent="0.25">
      <c r="B701" s="3"/>
    </row>
    <row r="702" spans="1:74" x14ac:dyDescent="0.25">
      <c r="B702" s="3"/>
    </row>
    <row r="703" spans="1:74" x14ac:dyDescent="0.25">
      <c r="B703" s="3"/>
    </row>
    <row r="704" spans="1:74" x14ac:dyDescent="0.25">
      <c r="B704" s="3"/>
    </row>
    <row r="705" spans="2:2" x14ac:dyDescent="0.25">
      <c r="B705" s="3"/>
    </row>
    <row r="706" spans="2:2" x14ac:dyDescent="0.25">
      <c r="B706" s="3"/>
    </row>
    <row r="707" spans="2:2" x14ac:dyDescent="0.25">
      <c r="B707" s="3"/>
    </row>
    <row r="708" spans="2:2" x14ac:dyDescent="0.25">
      <c r="B708" s="3"/>
    </row>
    <row r="709" spans="2:2" x14ac:dyDescent="0.25">
      <c r="B709" s="3"/>
    </row>
    <row r="710" spans="2:2" x14ac:dyDescent="0.25">
      <c r="B710" s="3"/>
    </row>
    <row r="711" spans="2:2" x14ac:dyDescent="0.25">
      <c r="B711" s="3"/>
    </row>
    <row r="712" spans="2:2" x14ac:dyDescent="0.25">
      <c r="B712" s="3"/>
    </row>
    <row r="713" spans="2:2" x14ac:dyDescent="0.25">
      <c r="B713" s="3"/>
    </row>
    <row r="714" spans="2:2" x14ac:dyDescent="0.25">
      <c r="B714" s="3"/>
    </row>
    <row r="715" spans="2:2" x14ac:dyDescent="0.25">
      <c r="B715" s="3"/>
    </row>
    <row r="716" spans="2:2" x14ac:dyDescent="0.25">
      <c r="B716" s="3"/>
    </row>
    <row r="717" spans="2:2" x14ac:dyDescent="0.25">
      <c r="B717" s="3"/>
    </row>
    <row r="718" spans="2:2" x14ac:dyDescent="0.25">
      <c r="B718" s="3"/>
    </row>
    <row r="719" spans="2:2" x14ac:dyDescent="0.25">
      <c r="B719" s="3"/>
    </row>
    <row r="720" spans="2:2" x14ac:dyDescent="0.25">
      <c r="B720" s="3"/>
    </row>
    <row r="721" spans="2:2" x14ac:dyDescent="0.25">
      <c r="B721" s="3"/>
    </row>
    <row r="722" spans="2:2" x14ac:dyDescent="0.25">
      <c r="B722" s="3"/>
    </row>
    <row r="723" spans="2:2" x14ac:dyDescent="0.25">
      <c r="B723" s="3"/>
    </row>
    <row r="724" spans="2:2" x14ac:dyDescent="0.25">
      <c r="B724" s="3"/>
    </row>
    <row r="725" spans="2:2" x14ac:dyDescent="0.25">
      <c r="B725" s="3"/>
    </row>
    <row r="726" spans="2:2" x14ac:dyDescent="0.25">
      <c r="B726" s="3"/>
    </row>
  </sheetData>
  <dataConsolidate/>
  <conditionalFormatting sqref="B727:B1048576 B1:B237 B239:B691">
    <cfRule type="duplicateValues" dxfId="55" priority="3"/>
  </conditionalFormatting>
  <conditionalFormatting sqref="B727:B1048576">
    <cfRule type="duplicateValues" dxfId="54" priority="2"/>
  </conditionalFormatting>
  <conditionalFormatting sqref="B238">
    <cfRule type="duplicateValues" dxfId="53" priority="1"/>
  </conditionalFormatting>
  <pageMargins left="0" right="0" top="0" bottom="0" header="0" footer="0"/>
  <pageSetup orientation="landscape" r:id="rId1"/>
  <drawing r:id="rId2"/>
  <legacyDrawing r:id="rId3"/>
  <controls>
    <mc:AlternateContent xmlns:mc="http://schemas.openxmlformats.org/markup-compatibility/2006">
      <mc:Choice Requires="x14">
        <control shapeId="1025" r:id="rId4" name="SearchBox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66675</xdr:colOff>
                <xdr:row>0</xdr:row>
                <xdr:rowOff>161925</xdr:rowOff>
              </to>
            </anchor>
          </controlPr>
        </control>
      </mc:Choice>
      <mc:Fallback>
        <control shapeId="1025" r:id="rId4" name="SearchBox"/>
      </mc:Fallback>
    </mc:AlternateContent>
  </controls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Osama</cp:lastModifiedBy>
  <dcterms:created xsi:type="dcterms:W3CDTF">2026-06-25T00:33:22Z</dcterms:created>
  <dcterms:modified xsi:type="dcterms:W3CDTF">2026-06-25T00:33:40Z</dcterms:modified>
</cp:coreProperties>
</file>